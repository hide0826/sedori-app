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せどり総合\事務系マクロ\"/>
    </mc:Choice>
  </mc:AlternateContent>
  <xr:revisionPtr revIDLastSave="0" documentId="13_ncr:1_{39BA40CE-B67E-43A3-855D-18FC1D09EC5B}" xr6:coauthVersionLast="47" xr6:coauthVersionMax="47" xr10:uidLastSave="{00000000-0000-0000-0000-000000000000}"/>
  <bookViews>
    <workbookView xWindow="-120" yWindow="-120" windowWidth="29040" windowHeight="15720" tabRatio="614" xr2:uid="{27518EF8-B3AB-4F1B-BAD5-A0E395767AB6}"/>
  </bookViews>
  <sheets>
    <sheet name="コントロールパネル" sheetId="1" r:id="rId1"/>
    <sheet name="sku入りリスト" sheetId="2" r:id="rId2"/>
    <sheet name="ピッキングリスト" sheetId="3" r:id="rId3"/>
    <sheet name="検品リスト" sheetId="4" r:id="rId4"/>
    <sheet name="出品用CSV" sheetId="5" r:id="rId5"/>
    <sheet name="出品除外リスト" sheetId="6" r:id="rId6"/>
    <sheet name="外注用リスト" sheetId="7" r:id="rId7"/>
    <sheet name="仕入先マスタ" sheetId="8" r:id="rId8"/>
    <sheet name="滞在記録_読込用" sheetId="9" r:id="rId9"/>
  </sheets>
  <functionGroups builtInGroupCount="19"/>
  <definedNames>
    <definedName name="_xlnm._FilterDatabase" localSheetId="6" hidden="1">外注用リスト!$B$2:$B$44</definedName>
    <definedName name="ExternalData_1" localSheetId="2">ピッキングリスト!$A$1:$J$55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7" l="1"/>
</calcChain>
</file>

<file path=xl/sharedStrings.xml><?xml version="1.0" encoding="utf-8"?>
<sst xmlns="http://schemas.openxmlformats.org/spreadsheetml/2006/main" count="1223" uniqueCount="496">
  <si>
    <t>仕入れ日</t>
  </si>
  <si>
    <t>コンディション</t>
  </si>
  <si>
    <t>ASIN</t>
  </si>
  <si>
    <t>JAN</t>
  </si>
  <si>
    <t>商品名</t>
  </si>
  <si>
    <t>仕入れ個数</t>
  </si>
  <si>
    <t>仕入れ価格</t>
  </si>
  <si>
    <t>販売予定価格</t>
  </si>
  <si>
    <t>見込み利益</t>
  </si>
  <si>
    <t>損益分岐点</t>
  </si>
  <si>
    <t>コメント</t>
  </si>
  <si>
    <t>参考価格</t>
  </si>
  <si>
    <t>発送方法</t>
  </si>
  <si>
    <t>仕入れ先</t>
  </si>
  <si>
    <t>コンディション説明</t>
  </si>
  <si>
    <t>SKU</t>
  </si>
  <si>
    <t>その他費用</t>
  </si>
  <si>
    <t>ASIN、JANはどちらか一方のみ記載してください。</t>
  </si>
  <si>
    <t>title</t>
  </si>
  <si>
    <t>add_number</t>
  </si>
  <si>
    <t>price</t>
  </si>
  <si>
    <t>cost</t>
  </si>
  <si>
    <t>akaji</t>
  </si>
  <si>
    <t>takane</t>
  </si>
  <si>
    <t>condition</t>
  </si>
  <si>
    <t>priceTrace</t>
  </si>
  <si>
    <t>leadtime</t>
  </si>
  <si>
    <t>merchant_shipping_group_name</t>
  </si>
  <si>
    <t>T1-012</t>
  </si>
  <si>
    <t>T1-011</t>
  </si>
  <si>
    <t>T1-008</t>
  </si>
  <si>
    <t>T1-005</t>
  </si>
  <si>
    <t>T1-004</t>
  </si>
  <si>
    <t>T1-003</t>
  </si>
  <si>
    <t>T1-002</t>
  </si>
  <si>
    <t>T1-001</t>
  </si>
  <si>
    <t>店舗名</t>
  </si>
  <si>
    <t>H1-002</t>
  </si>
  <si>
    <t>所属ルート名</t>
  </si>
  <si>
    <t>ルートコード</t>
  </si>
  <si>
    <t>仕入れ先コード</t>
  </si>
  <si>
    <t>八王子ルート</t>
  </si>
  <si>
    <t>H1</t>
  </si>
  <si>
    <t>H1-009</t>
  </si>
  <si>
    <t>オフハウス八王子楢原店</t>
  </si>
  <si>
    <t>H1-008</t>
  </si>
  <si>
    <t>ハードオフ八王子大和田店</t>
  </si>
  <si>
    <t>H1-007</t>
  </si>
  <si>
    <t>セカンドストリート八王子高倉店</t>
  </si>
  <si>
    <t>H1-006</t>
  </si>
  <si>
    <t>セカンドストリート多摩境店</t>
  </si>
  <si>
    <t>H1-005</t>
  </si>
  <si>
    <t>トレジャーファクトリー南大沢店</t>
  </si>
  <si>
    <t>H1-004</t>
  </si>
  <si>
    <t>ハードオフ八王子堀之内店</t>
  </si>
  <si>
    <t>H1-003</t>
  </si>
  <si>
    <t>BOOKOFF SUPER BAZAAR 多摩永山店</t>
  </si>
  <si>
    <t>トレジャーファクトリー稲城若葉台店</t>
  </si>
  <si>
    <t>H1-001</t>
  </si>
  <si>
    <t>トレジャーファクトリー鶴川店</t>
  </si>
  <si>
    <t>埼玉川口ルート</t>
  </si>
  <si>
    <t>S1</t>
  </si>
  <si>
    <t>S1-012</t>
  </si>
  <si>
    <t>セカンドストリート東川口店</t>
  </si>
  <si>
    <t>S1-011</t>
  </si>
  <si>
    <t>セカンドストリート越谷谷中店</t>
  </si>
  <si>
    <t>S1-010</t>
  </si>
  <si>
    <t>トレジャーファクトリー 北越谷店</t>
  </si>
  <si>
    <t>S1-008</t>
  </si>
  <si>
    <t>オフハウス東越谷店</t>
  </si>
  <si>
    <t>S1-009</t>
  </si>
  <si>
    <t>ハードオフ 越谷花田店</t>
  </si>
  <si>
    <t>S1-007</t>
  </si>
  <si>
    <t>セカンドストリート越谷レイクタウン店</t>
  </si>
  <si>
    <t>S1-006</t>
  </si>
  <si>
    <t>セカンドストリート三郷店</t>
  </si>
  <si>
    <t>S1-005</t>
  </si>
  <si>
    <t>オフハウス三郷店</t>
  </si>
  <si>
    <t>S1-004</t>
  </si>
  <si>
    <t>BOOKOFF SUPER BAZAAR イトーヨーカドー流山店</t>
  </si>
  <si>
    <t>S1-003</t>
  </si>
  <si>
    <t>トレジャーファクトリー 流山店</t>
  </si>
  <si>
    <t>S1-001</t>
  </si>
  <si>
    <t>セカンドストリート葛飾水元店</t>
  </si>
  <si>
    <t>S1-002</t>
  </si>
  <si>
    <t>HARDOFF 松戸古ヶ崎店</t>
  </si>
  <si>
    <t>鎌倉ルート</t>
  </si>
  <si>
    <t>K1</t>
  </si>
  <si>
    <t>K1-008</t>
  </si>
  <si>
    <t>オフハウス 横浜金沢富岡店</t>
  </si>
  <si>
    <t>K1-007</t>
  </si>
  <si>
    <t>セカンドストリート 横浜港南台店</t>
  </si>
  <si>
    <t>K1-005</t>
  </si>
  <si>
    <t>ワットマン 鎌倉手広店</t>
  </si>
  <si>
    <t>K1-006</t>
  </si>
  <si>
    <t>BOOKOFF SUPER BAZAAR 鎌倉大船店</t>
  </si>
  <si>
    <t>K1-003</t>
  </si>
  <si>
    <t>トレジャーファクトリー 大船店</t>
  </si>
  <si>
    <t>K1-004</t>
  </si>
  <si>
    <t>ハードオフ オフハウス 鎌倉大船モール店</t>
  </si>
  <si>
    <t>K1-002</t>
  </si>
  <si>
    <t>トレジャーファクトリー 横浜下永谷店</t>
  </si>
  <si>
    <t>K1-001</t>
  </si>
  <si>
    <t>BOOKOFF SUPER BAZAAR 横浜東戸塚オリンピック店</t>
  </si>
  <si>
    <t>川崎ルート</t>
  </si>
  <si>
    <t>K2</t>
  </si>
  <si>
    <t>K2-012</t>
  </si>
  <si>
    <t>BOOKOFF SUPER BAZAAR 409号川崎港町店</t>
  </si>
  <si>
    <t>K2-011</t>
  </si>
  <si>
    <t>トレジャーファクトリー川崎野川店</t>
  </si>
  <si>
    <t>K2-010</t>
  </si>
  <si>
    <t>BOOKOFF SUPER BAZAAR 綱島樽町店</t>
  </si>
  <si>
    <t>K2-009</t>
  </si>
  <si>
    <t>セカンドストリート コーナン港北インター店</t>
  </si>
  <si>
    <t>K2-008</t>
  </si>
  <si>
    <t>ワットマン 川崎梶ヶ谷店</t>
  </si>
  <si>
    <t>K2-007</t>
  </si>
  <si>
    <t>セカンドストリート 川崎野川店</t>
  </si>
  <si>
    <t>K2-006</t>
  </si>
  <si>
    <t>セカンドストリート 横浜港北店</t>
  </si>
  <si>
    <t>K2-005</t>
  </si>
  <si>
    <t>トレジャーファクトリー 横浜青葉店</t>
  </si>
  <si>
    <t>K2-003</t>
  </si>
  <si>
    <t>セカンドストリート 横浜都筑店</t>
  </si>
  <si>
    <t>K2-004</t>
  </si>
  <si>
    <t>ハードオフ 横浜市ヶ尾店</t>
  </si>
  <si>
    <t>K2-002</t>
  </si>
  <si>
    <t>K2-001</t>
  </si>
  <si>
    <t>BOOKOFF SUPER BAZAAR ノースポート・モール店</t>
  </si>
  <si>
    <t>千葉船橋ルート</t>
  </si>
  <si>
    <t>C1</t>
  </si>
  <si>
    <t>C1-010</t>
  </si>
  <si>
    <t>BOOKOFF SUPER BAZAAR 14号千葉幕張店</t>
  </si>
  <si>
    <t>C1-009</t>
  </si>
  <si>
    <t>C1-008</t>
  </si>
  <si>
    <t>セカンドストリート東習志野店</t>
  </si>
  <si>
    <t>C1-007</t>
  </si>
  <si>
    <t>オフハウス八千代店</t>
  </si>
  <si>
    <t>C1-006</t>
  </si>
  <si>
    <t>スーパーセカンドストリート八千代店</t>
  </si>
  <si>
    <t>C1-005</t>
  </si>
  <si>
    <t>セカンドストリート船橋新高根店</t>
  </si>
  <si>
    <t>C1-004</t>
  </si>
  <si>
    <t>セカンドストリート 鎌ヶ谷店</t>
  </si>
  <si>
    <t>C1-003</t>
  </si>
  <si>
    <t>OFFHOUSE 鎌ヶ谷道野辺店</t>
  </si>
  <si>
    <t>C1-002</t>
  </si>
  <si>
    <t>セカンドストリート船橋夏見台店</t>
  </si>
  <si>
    <t>C1-001</t>
  </si>
  <si>
    <t>BOOKOFF SUPER BAZAAR ビビット南船橋店</t>
  </si>
  <si>
    <t>つくばルート</t>
  </si>
  <si>
    <t>I1</t>
  </si>
  <si>
    <t>I1-009</t>
  </si>
  <si>
    <t>トレジャーファクトリー 牛久店</t>
  </si>
  <si>
    <t>I1-008</t>
  </si>
  <si>
    <t>WonderREXひたち野うしく店</t>
  </si>
  <si>
    <t>I1-006</t>
  </si>
  <si>
    <t>セカンドストリートレプサモールつくば店</t>
  </si>
  <si>
    <t>I1-007</t>
  </si>
  <si>
    <t>BOOKOFF SUPER BAZAAR 荒川沖店</t>
  </si>
  <si>
    <t>I1-004</t>
  </si>
  <si>
    <t>セカンドストリートつくば研究学園店</t>
  </si>
  <si>
    <t>I1-005</t>
  </si>
  <si>
    <t>トレジャー・ファクトリー つくば店</t>
  </si>
  <si>
    <t>I1-003</t>
  </si>
  <si>
    <t>ハードオフ・オフハウスつくば研究学園店</t>
  </si>
  <si>
    <t>I1-001</t>
  </si>
  <si>
    <t>セカンドストリートみらい平店</t>
  </si>
  <si>
    <t>I1-002</t>
  </si>
  <si>
    <t>セカンドストリートつくばみどりの店</t>
  </si>
  <si>
    <t>町田相模原ルート</t>
  </si>
  <si>
    <t>M1</t>
  </si>
  <si>
    <t>M1-010</t>
  </si>
  <si>
    <t>ハードオフ東橋本店</t>
  </si>
  <si>
    <t>M1-011</t>
  </si>
  <si>
    <t>M1-009</t>
  </si>
  <si>
    <t>セカンドストリート相模原橋本店</t>
  </si>
  <si>
    <t>M1-008</t>
  </si>
  <si>
    <t>オフハウス 三和西橋本店</t>
  </si>
  <si>
    <t>M1-006</t>
  </si>
  <si>
    <t>セカンドストリート相模原光が丘店</t>
  </si>
  <si>
    <t>M1-007</t>
  </si>
  <si>
    <t>オフハウス 相模原田名店</t>
  </si>
  <si>
    <t>M1-005</t>
  </si>
  <si>
    <t>ハードオフ相模原矢部店</t>
  </si>
  <si>
    <t>M1-004</t>
  </si>
  <si>
    <t>ワットマン 相模原中央店</t>
  </si>
  <si>
    <t>M1-003</t>
  </si>
  <si>
    <t>トレジャーファクトリー 相模原店</t>
  </si>
  <si>
    <t>M1-002</t>
  </si>
  <si>
    <t>セカンドストリート相模原淵野辺店</t>
  </si>
  <si>
    <t>M1-001</t>
  </si>
  <si>
    <t>トレジャーファクトリー町田店</t>
  </si>
  <si>
    <t>千葉成田ルート</t>
  </si>
  <si>
    <t>C3</t>
  </si>
  <si>
    <t>C3-010</t>
  </si>
  <si>
    <t>WonderREX 八街店</t>
  </si>
  <si>
    <t>C3-009</t>
  </si>
  <si>
    <t>ハードオフ・オフハウス・ホビーオフ富里インター店</t>
  </si>
  <si>
    <t>C3-007</t>
  </si>
  <si>
    <t>WonderREX 成田店</t>
  </si>
  <si>
    <t>C3-008</t>
  </si>
  <si>
    <t>セカンドストリート富里7Aスクエア店</t>
  </si>
  <si>
    <t>C3-006</t>
  </si>
  <si>
    <t>セカンドストリートそよら成田ニュータウン店</t>
  </si>
  <si>
    <t>C3-005</t>
  </si>
  <si>
    <t>セカンドストリート成田店</t>
  </si>
  <si>
    <t>C3-004</t>
  </si>
  <si>
    <t>ハードオフ 安食店</t>
  </si>
  <si>
    <t>C3-003</t>
  </si>
  <si>
    <t>スーパーセカンドストリート印西ビッグホップ店</t>
  </si>
  <si>
    <t>C3-002</t>
  </si>
  <si>
    <t>WonderREX 千葉ニュータウン店</t>
  </si>
  <si>
    <t>埼玉川越ルート</t>
  </si>
  <si>
    <t>S2</t>
  </si>
  <si>
    <t>S2-010</t>
  </si>
  <si>
    <t>ハードオフ・オフハウス・ホビーオフ 川越神明町店</t>
  </si>
  <si>
    <t>C3-001</t>
  </si>
  <si>
    <t>ハードオフ・オフハウス 千葉ニュータウン中央店</t>
  </si>
  <si>
    <t>S2-008</t>
  </si>
  <si>
    <t>トレジャーファクトリー 川越店</t>
  </si>
  <si>
    <t>S2-009</t>
  </si>
  <si>
    <t>スーパーセカンドストリート川越小仙波店</t>
  </si>
  <si>
    <t>S2-006</t>
  </si>
  <si>
    <t>ハードオフ・オフハウス川越今福店</t>
  </si>
  <si>
    <t>S2-007</t>
  </si>
  <si>
    <t>セカンドストリート川越新宿店</t>
  </si>
  <si>
    <t>S2-005</t>
  </si>
  <si>
    <t>セカンドストリートふじみ野店</t>
  </si>
  <si>
    <t>S2-004</t>
  </si>
  <si>
    <t>トレジャーファクトリー上福岡店</t>
  </si>
  <si>
    <t>S2-003</t>
  </si>
  <si>
    <t>セカンドストリートつるせ店</t>
  </si>
  <si>
    <t>S2-002</t>
  </si>
  <si>
    <t>セカンドストリート朝霞店</t>
  </si>
  <si>
    <t>S2-001</t>
  </si>
  <si>
    <t>ハードオフ新座店</t>
  </si>
  <si>
    <t>横浜瀬谷ー大和ルート</t>
  </si>
  <si>
    <t>K3</t>
  </si>
  <si>
    <t>K3-012</t>
  </si>
  <si>
    <t>ハードオフ座間店</t>
  </si>
  <si>
    <t>K3-010</t>
  </si>
  <si>
    <t>ハードオフ中央林間りんかんモール店</t>
  </si>
  <si>
    <t>K3-011</t>
  </si>
  <si>
    <t>トレジャーファクトリー中央林間店</t>
  </si>
  <si>
    <t>K3-008</t>
  </si>
  <si>
    <t>ワットマン PAT綾瀬店</t>
  </si>
  <si>
    <t>K3-009</t>
  </si>
  <si>
    <t>セカンドストリート大和鶴間店</t>
  </si>
  <si>
    <t>K3-007</t>
  </si>
  <si>
    <t>ハードオフ高座渋谷店</t>
  </si>
  <si>
    <t>K3-006</t>
  </si>
  <si>
    <t>K3-005</t>
  </si>
  <si>
    <t>トレジャーファクトリー 大和店</t>
  </si>
  <si>
    <t>K3-004</t>
  </si>
  <si>
    <t>BOOKOFF SUPER BAZAAR 横浜瀬谷南台店</t>
  </si>
  <si>
    <t>K3-003</t>
  </si>
  <si>
    <t>セカンドストリート横浜緑園都市店</t>
  </si>
  <si>
    <t>K3-002</t>
  </si>
  <si>
    <t>セカンドストリート横浜希望ヶ丘店</t>
  </si>
  <si>
    <t>K3-001</t>
  </si>
  <si>
    <t>トレジャーファクトリー二俣川店</t>
  </si>
  <si>
    <t>西東京ー埼玉入間ルート</t>
  </si>
  <si>
    <t>T1</t>
  </si>
  <si>
    <t>ハードオフオフハウス 16号狭山店</t>
  </si>
  <si>
    <t>セカンドストリート狭山富士見店</t>
  </si>
  <si>
    <t>T1-010</t>
  </si>
  <si>
    <t>セカンドストリート入間店</t>
  </si>
  <si>
    <t>T1-009</t>
  </si>
  <si>
    <t>トレジャーファクトリー入間店</t>
  </si>
  <si>
    <t>ハードオフ入間藤沢店</t>
  </si>
  <si>
    <t>T1-007</t>
  </si>
  <si>
    <t>セカンドストリート所沢店</t>
  </si>
  <si>
    <t>T1-006</t>
  </si>
  <si>
    <t>スーパーセカンドストリート所沢トコトコスクエア店</t>
  </si>
  <si>
    <t>ハードオフ花小金井店</t>
  </si>
  <si>
    <t>セカンドストリート東久留米店</t>
  </si>
  <si>
    <t>トレジャーファクトリー 花小金井店</t>
  </si>
  <si>
    <t>セカンドストリート西東京富士町店</t>
  </si>
  <si>
    <t>トレジャーファクトリー 東久留米店</t>
  </si>
  <si>
    <t>千葉内房ルート</t>
  </si>
  <si>
    <t>C2</t>
  </si>
  <si>
    <t>C2-009</t>
  </si>
  <si>
    <t>ハードオフ 市原店</t>
  </si>
  <si>
    <t>C2-007</t>
  </si>
  <si>
    <t>セカンドストリート市原店</t>
  </si>
  <si>
    <t>C2-008</t>
  </si>
  <si>
    <t>OFF HOUSE 辰巳台店</t>
  </si>
  <si>
    <t>C2-006</t>
  </si>
  <si>
    <t>ハードオフ・ホビーオフ千葉浜野店</t>
  </si>
  <si>
    <t>C2-005</t>
  </si>
  <si>
    <t>セカンドストリートおゆみ野店</t>
  </si>
  <si>
    <t>C2-004</t>
  </si>
  <si>
    <t>ハードオフ千葉おゆみ野店</t>
  </si>
  <si>
    <t>C2-003</t>
  </si>
  <si>
    <t>セカンドストリートイコアス千城台店</t>
  </si>
  <si>
    <t>C2-002</t>
  </si>
  <si>
    <t>トレジャーファクトリー 千葉みつわ台店</t>
  </si>
  <si>
    <t>C2-001</t>
  </si>
  <si>
    <t>BOOKOFF SUPER BAZAAR 東千葉祐光店</t>
  </si>
  <si>
    <t>K3-013</t>
    <phoneticPr fontId="1"/>
  </si>
  <si>
    <t>ハードオフ横浜緑園都市店</t>
    <rPh sb="5" eb="7">
      <t>ヨコハマ</t>
    </rPh>
    <rPh sb="7" eb="11">
      <t>リョクエントシ</t>
    </rPh>
    <rPh sb="11" eb="12">
      <t>テン</t>
    </rPh>
    <phoneticPr fontId="1"/>
  </si>
  <si>
    <t>横浜瀬谷ー大和ルート</t>
    <phoneticPr fontId="1"/>
  </si>
  <si>
    <t>セカンドストリート綾瀬深谷店</t>
  </si>
  <si>
    <t>中古(非常に良い)</t>
  </si>
  <si>
    <t>FBA</t>
  </si>
  <si>
    <t>中古(ほぼ新品)</t>
  </si>
  <si>
    <t>新品(新品)</t>
  </si>
  <si>
    <t>Q4</t>
  </si>
  <si>
    <t>conditionNote</t>
    <phoneticPr fontId="1"/>
  </si>
  <si>
    <t>C1-011</t>
    <phoneticPr fontId="1"/>
  </si>
  <si>
    <t>ハードオフ 市川大野店</t>
  </si>
  <si>
    <t>トレジャーファクトリー 習志野店(閉店）</t>
    <rPh sb="17" eb="19">
      <t>ヘイテン</t>
    </rPh>
    <phoneticPr fontId="1"/>
  </si>
  <si>
    <t>C1-012</t>
    <phoneticPr fontId="1"/>
  </si>
  <si>
    <t>ハードオフ・オフハウス八千代店</t>
    <rPh sb="11" eb="15">
      <t>ヤチヨテン</t>
    </rPh>
    <phoneticPr fontId="1"/>
  </si>
  <si>
    <t>C1-013</t>
    <phoneticPr fontId="1"/>
  </si>
  <si>
    <t>ハードオフ・ホビーオフ船橋習志野台</t>
    <rPh sb="11" eb="13">
      <t>フナバシ</t>
    </rPh>
    <rPh sb="13" eb="17">
      <t>ナラシノダイ</t>
    </rPh>
    <phoneticPr fontId="1"/>
  </si>
  <si>
    <t>I1-010</t>
  </si>
  <si>
    <t>ハードオフつくば研究学園店</t>
  </si>
  <si>
    <t>店舗コード</t>
  </si>
  <si>
    <t>到着時刻</t>
  </si>
  <si>
    <t>出発時刻</t>
  </si>
  <si>
    <t>滞在時間</t>
  </si>
  <si>
    <t>移動時間</t>
  </si>
  <si>
    <t>滞在時間_分</t>
  </si>
  <si>
    <t>移動時間_分</t>
  </si>
  <si>
    <t>帰宅時刻</t>
  </si>
  <si>
    <t>高速代往路</t>
  </si>
  <si>
    <t>高速代復路</t>
  </si>
  <si>
    <t>I1-011</t>
    <phoneticPr fontId="1"/>
  </si>
  <si>
    <t>セカンドストリート竜ヶ崎店</t>
    <rPh sb="9" eb="12">
      <t>リュウガサキ</t>
    </rPh>
    <rPh sb="12" eb="13">
      <t>テン</t>
    </rPh>
    <phoneticPr fontId="1"/>
  </si>
  <si>
    <t>オフハウス コーナン港北センター南店</t>
    <phoneticPr fontId="1"/>
  </si>
  <si>
    <t>K2-013</t>
    <phoneticPr fontId="1"/>
  </si>
  <si>
    <t>ホビーオフ コーナン港北センター南店</t>
    <phoneticPr fontId="6"/>
  </si>
  <si>
    <t>H1-010</t>
  </si>
  <si>
    <t>H1-010</t>
    <phoneticPr fontId="1"/>
  </si>
  <si>
    <t>オフハウス八王子大和田店</t>
    <phoneticPr fontId="6"/>
  </si>
  <si>
    <t>オフハウス八王子大和田店</t>
  </si>
  <si>
    <t>B00008DE1S</t>
  </si>
  <si>
    <t>サンワサプライ LB-CDRSET24 CD/DVDラベラーセット(ソフト付き)</t>
  </si>
  <si>
    <t>B01MZGV79T</t>
  </si>
  <si>
    <t>ロゼンスター メンズフェイストリマー FM-591</t>
  </si>
  <si>
    <t>B005GICA5Y</t>
  </si>
  <si>
    <t>カール事務器 裁断機 ペーパーカッター A4対応 10枚裁断 DC-200N</t>
  </si>
  <si>
    <t>B00BJ67KZ2</t>
  </si>
  <si>
    <t>PLANTOYS 5634 ギアパズル-スタンダード</t>
  </si>
  <si>
    <t>B00031YCW8</t>
  </si>
  <si>
    <t>NEWドキドキドミノ</t>
  </si>
  <si>
    <t>B07SFP19QH</t>
  </si>
  <si>
    <t>はじめて英語 くまのプーさん 絵本でおしゃべり! ゆびさき知育 いっぱいできた 8か月~3歳 ディスク(1)付</t>
  </si>
  <si>
    <t>B00009W17F</t>
  </si>
  <si>
    <t>カシオ 電子辞書 スタンダード XD-80AN</t>
  </si>
  <si>
    <t>B000RGMCNK</t>
  </si>
  <si>
    <t>SLIK 三脚 500G-7 4段 旅行用三脚 350225</t>
  </si>
  <si>
    <t>B0001IXUI0</t>
  </si>
  <si>
    <t>SONY CLIE PEG-TH55-B (エグゼブラック)</t>
  </si>
  <si>
    <t>B01DZPO6VK</t>
  </si>
  <si>
    <t>BUFFALO WiFi 無線LAN ルーター WCR-1166DS 11ac ac1200 866+300Mbps デュアルバンド 日本メーカー 2LDK向け 【iPhone13/12/11/iPhone SE(第二世代)/Amazon Echo メーカー動作確認済み】</t>
  </si>
  <si>
    <t>B001CPHPNW</t>
  </si>
  <si>
    <t>エレコム USB⇔USBパソコン切替器 KVM-KUSN</t>
  </si>
  <si>
    <t>B003LVYGH8</t>
  </si>
  <si>
    <t>バッファロー BUFFALO フルキーボード USB接続 パンタグラフ Macモデル ホワイト BSKBM01WH</t>
  </si>
  <si>
    <t>B07796LM89</t>
  </si>
  <si>
    <t>キヤノン 写真用紙・光沢 ゴールド 印画紙タイプ GL-101A450 A4 2310B007 1冊(50枚) 【×2セット】</t>
  </si>
  <si>
    <t>B0D8L46JSW</t>
  </si>
  <si>
    <t>エレコム iPad Air 13インチ (M3/M2) 2025/2024年 ケース 背面クリア 変えられる2つのスタンド角度 スリープモード対応 傷や汚れが付きにくいソフトレザー ブラック TB-A24XWVBK</t>
  </si>
  <si>
    <t>B0002U3GJA</t>
  </si>
  <si>
    <t>トミーダイレクト ジェンガ</t>
  </si>
  <si>
    <t>B002XSB2AY</t>
  </si>
  <si>
    <t>燃えろ！！ロボコン　スロットロイド4　ロボデジ</t>
  </si>
  <si>
    <t>B000BNCBL2</t>
  </si>
  <si>
    <t>ピジョン Pigeon ぷちストローボトル トロピカルイエロー 150ml 9ヵ月頃から たためるハンドルでお出かけに便利</t>
  </si>
  <si>
    <t>B000WMOBAG</t>
  </si>
  <si>
    <t>パナソニック シリカ電球60形【1個入】 LW100V54W(NA)</t>
  </si>
  <si>
    <t>B004KGY0QU</t>
  </si>
  <si>
    <t>ELECOM テレビ用ヘッドホン カナル 3m ブラック EHP-TVIN0130BK</t>
  </si>
  <si>
    <t>B07ZQ33SLY</t>
  </si>
  <si>
    <t>トミカ スピードウェイ GO!GO! アクセルサーキット (スペシャルトミカ同梱版)</t>
  </si>
  <si>
    <t>B00DTM2DGK</t>
  </si>
  <si>
    <t>エド・インター 森のあそび箱 木のおもちゃ 型はめ パズル 806487</t>
  </si>
  <si>
    <t>動物パズル ワニハゲ有り</t>
  </si>
  <si>
    <t>B07TGBX7CM</t>
  </si>
  <si>
    <t>NEC Speed Wi-Fi NEXT WX05 UQ版 ソニックレッド</t>
  </si>
  <si>
    <t>ハードオフ</t>
  </si>
  <si>
    <t>B0142V7M5I</t>
  </si>
  <si>
    <t>I-O DATA スマホ タブレット DVD視聴/CD取込 Wi-Fiモデル iOS/Android/ 「DVDミレル」 土日サポート/DVRP-W8AI</t>
  </si>
  <si>
    <t>B001MI15WQ</t>
  </si>
  <si>
    <t>CG-SW08TXRX 8ポート 100M/10M スイッチングHUB</t>
  </si>
  <si>
    <t>中古(良い)</t>
  </si>
  <si>
    <t>B005PKPPBO</t>
  </si>
  <si>
    <t>Wacom ペンタブレット Sサイズ ホワイト イラスタMini&amp;コミスタMini付属 Bambooコミック CTH-470/W2</t>
  </si>
  <si>
    <t>B0000ACDQ3</t>
  </si>
  <si>
    <t>CASIO EX-word XD-V5100 (7コンテンツ, (広辞苑・逆引き広辞苑・ジーニアス英和・和英・カタカナ語・英語類語・漢和)9.8mm薄型ボディ)</t>
  </si>
  <si>
    <t>B07ZPZ8H31</t>
  </si>
  <si>
    <t>キヤノン 写真用紙 光沢 ゴールド L判 100枚 GL-101L100 2個セット</t>
  </si>
  <si>
    <t>B000FHU422</t>
  </si>
  <si>
    <t>浅沼商会 スライド映写機 CS-15 027A100</t>
  </si>
  <si>
    <t>B00XOKVZEI</t>
  </si>
  <si>
    <t>くもん出版 NEW さんかくたんぐらむ 知育玩具 おもちゃ 2歳以上 KUMON</t>
  </si>
  <si>
    <t>オフハウス</t>
  </si>
  <si>
    <t>B009AP2FS6</t>
  </si>
  <si>
    <t>センサーバー (RVL-A-SB)</t>
  </si>
  <si>
    <t>B01ET1L3G0</t>
  </si>
  <si>
    <t>Ergobaby(エルゴベビー) インファントインサートIII (新生児 対面抱き用) [正規代理店] 抱っこ紐用 赤ちゃんの自然な姿勢を支えるクッション (ベビーキャリアと一体化) グレー 1か月~ CKEGIIAGRYV3</t>
  </si>
  <si>
    <t>B00GRK6HC2</t>
  </si>
  <si>
    <t>いないいないばぁ ワンワンとうーたん パカッとばぁ! かくれんぼスイッチ</t>
  </si>
  <si>
    <t>B00JL5YEQQ</t>
  </si>
  <si>
    <t>タカラトミー(TAKARA TOMY) ディズニー はじめて英語 ディズニー&amp;ディズニー・ピクサーキャラクターズ おしゃべりいっぱい!ガチャ</t>
  </si>
  <si>
    <t/>
  </si>
  <si>
    <t>4969887265659</t>
    <phoneticPr fontId="1"/>
  </si>
  <si>
    <t>4950404591009</t>
    <phoneticPr fontId="1"/>
  </si>
  <si>
    <t>4971760952334</t>
    <phoneticPr fontId="1"/>
  </si>
  <si>
    <t>8854740056344</t>
    <phoneticPr fontId="1"/>
  </si>
  <si>
    <t>4941746800386</t>
    <phoneticPr fontId="1"/>
  </si>
  <si>
    <t>4904810128465</t>
    <phoneticPr fontId="1"/>
  </si>
  <si>
    <t>4971850133100</t>
    <phoneticPr fontId="1"/>
  </si>
  <si>
    <t>4906752350225</t>
    <phoneticPr fontId="1"/>
  </si>
  <si>
    <t>4901780866632</t>
    <phoneticPr fontId="1"/>
  </si>
  <si>
    <t>4981254035313</t>
    <phoneticPr fontId="1"/>
  </si>
  <si>
    <t>4953103201712</t>
    <phoneticPr fontId="1"/>
  </si>
  <si>
    <t>4950190136569</t>
    <phoneticPr fontId="1"/>
  </si>
  <si>
    <t>4960999484129</t>
    <phoneticPr fontId="1"/>
  </si>
  <si>
    <t>4549550310963</t>
    <phoneticPr fontId="1"/>
  </si>
  <si>
    <t>4547551150007</t>
    <phoneticPr fontId="1"/>
  </si>
  <si>
    <t>4902425720388</t>
    <phoneticPr fontId="1"/>
  </si>
  <si>
    <t>4902508032957</t>
    <phoneticPr fontId="1"/>
  </si>
  <si>
    <t>4984824274532</t>
    <phoneticPr fontId="1"/>
  </si>
  <si>
    <t>4953103253599</t>
    <phoneticPr fontId="1"/>
  </si>
  <si>
    <t>4904810617020</t>
    <phoneticPr fontId="1"/>
  </si>
  <si>
    <t>4941746806487</t>
    <phoneticPr fontId="1"/>
  </si>
  <si>
    <t>4941787064853</t>
    <phoneticPr fontId="1"/>
  </si>
  <si>
    <t>4957180117713</t>
    <phoneticPr fontId="1"/>
  </si>
  <si>
    <t>4519157018241</t>
    <phoneticPr fontId="1"/>
  </si>
  <si>
    <t>4949268303927</t>
    <phoneticPr fontId="1"/>
  </si>
  <si>
    <t>4971850162599</t>
    <phoneticPr fontId="1"/>
  </si>
  <si>
    <t>4960999484075</t>
    <phoneticPr fontId="1"/>
  </si>
  <si>
    <t>4961106271007</t>
    <phoneticPr fontId="1"/>
  </si>
  <si>
    <t>4944121546473</t>
    <phoneticPr fontId="1"/>
  </si>
  <si>
    <t>4902370519914</t>
    <phoneticPr fontId="1"/>
  </si>
  <si>
    <t>845197061515</t>
    <phoneticPr fontId="1"/>
  </si>
  <si>
    <t>4975201311407</t>
    <phoneticPr fontId="1"/>
  </si>
  <si>
    <t>4904810814856</t>
    <phoneticPr fontId="1"/>
  </si>
  <si>
    <t>250816-11-001</t>
  </si>
  <si>
    <t>250816-11-002</t>
  </si>
  <si>
    <t>250816-2-003</t>
  </si>
  <si>
    <t>250816-2-004</t>
  </si>
  <si>
    <t>250816-2-005</t>
  </si>
  <si>
    <t>250816-2-006</t>
  </si>
  <si>
    <t>250816-2-007</t>
  </si>
  <si>
    <t>250816-2-008</t>
  </si>
  <si>
    <t>250816-2-009</t>
  </si>
  <si>
    <t>250816-2-010</t>
  </si>
  <si>
    <t>250816-2-011</t>
  </si>
  <si>
    <t>250816-2-012</t>
  </si>
  <si>
    <t>250816-1-013</t>
  </si>
  <si>
    <t>250816-11-014</t>
  </si>
  <si>
    <t>250816-2-015</t>
  </si>
  <si>
    <t>250816-1-016</t>
  </si>
  <si>
    <t>250816-11-017</t>
  </si>
  <si>
    <t>250816-11-018</t>
  </si>
  <si>
    <t>250816-1-019</t>
  </si>
  <si>
    <t>250816-2-020-Q4</t>
  </si>
  <si>
    <t>250816-2-021-Q4</t>
  </si>
  <si>
    <t>250816-2-022</t>
  </si>
  <si>
    <t>250816-2-023</t>
  </si>
  <si>
    <t>250816-2-024</t>
  </si>
  <si>
    <t>250816-3-025</t>
  </si>
  <si>
    <t>250816-2-026</t>
  </si>
  <si>
    <t>250816-1-027</t>
  </si>
  <si>
    <t>250816-3-028</t>
  </si>
  <si>
    <t>250816-2-029-Q4</t>
  </si>
  <si>
    <t>250816-2-030</t>
  </si>
  <si>
    <t>250816-2-031</t>
  </si>
  <si>
    <t>250816-2-032</t>
  </si>
  <si>
    <t>250816-2-033</t>
  </si>
  <si>
    <t>FNSKU</t>
  </si>
  <si>
    <t>UPC/EAN/ISBN/JAN/CODABAR</t>
  </si>
  <si>
    <t>誰が商品の梱包準備をしますか？</t>
  </si>
  <si>
    <t>誰が商品ラベルの貼付を行いますか？</t>
  </si>
  <si>
    <t>梱包タイプ</t>
  </si>
  <si>
    <t>数量</t>
  </si>
  <si>
    <t>中古</t>
  </si>
  <si>
    <t>出品者</t>
  </si>
  <si>
    <t>梱包不要</t>
  </si>
  <si>
    <t>作業料</t>
  </si>
  <si>
    <t>備考</t>
  </si>
  <si>
    <t>写真</t>
  </si>
  <si>
    <t>合計</t>
  </si>
  <si>
    <t>X001B9Y0QJ</t>
  </si>
  <si>
    <t>UPC:767485406689</t>
  </si>
  <si>
    <t>X001B9Y0NH</t>
  </si>
  <si>
    <t>EAN:4904810128465</t>
  </si>
  <si>
    <t>X001B9W3VX</t>
  </si>
  <si>
    <t>EAN:4904810814856</t>
  </si>
  <si>
    <t>X001B9T06J</t>
  </si>
  <si>
    <t>EAN:4950190136569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</si>
</sst>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[$-F400]h:mm:ss\ AM/PM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Aptos Narrow"/>
      <family val="2"/>
    </font>
    <font>
      <sz val="11"/>
      <color theme="1"/>
      <name val="游ゴシック"/>
      <family val="3"/>
      <charset val="128"/>
    </font>
    <font>
      <sz val="6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EBF2FB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31">
    <xf numFmtId="0" fontId="0" fillId="0" borderId="0" xfId="0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0" fontId="4" fillId="0" borderId="2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>
      <alignment vertical="center"/>
    </xf>
    <xf numFmtId="0" fontId="0" fillId="3" borderId="1" xfId="0" applyFill="1" applyBorder="1" applyAlignment="1"/>
    <xf numFmtId="177" fontId="0" fillId="3" borderId="1" xfId="0" applyNumberFormat="1" applyFill="1" applyBorder="1" applyAlignment="1"/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/>
    <xf numFmtId="177" fontId="0" fillId="0" borderId="0" xfId="0" applyNumberFormat="1" applyAlignment="1"/>
    <xf numFmtId="0" fontId="0" fillId="0" borderId="1" xfId="0" applyBorder="1" applyAlignment="1"/>
    <xf numFmtId="20" fontId="0" fillId="0" borderId="1" xfId="0" applyNumberFormat="1" applyBorder="1" applyAlignment="1"/>
    <xf numFmtId="20" fontId="0" fillId="0" borderId="0" xfId="0" applyNumberFormat="1" applyAlignment="1"/>
    <xf numFmtId="0" fontId="5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22" fontId="0" fillId="0" borderId="0" xfId="0" applyNumberFormat="1" applyFill="1">
      <alignment vertical="center"/>
    </xf>
    <xf numFmtId="0" fontId="0" fillId="0" borderId="0" xfId="0" applyFill="1">
      <alignment vertical="center"/>
    </xf>
    <xf numFmtId="49" fontId="0" fillId="0" borderId="0" xfId="0" quotePrefix="1" applyNumberFormat="1" applyFill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49" fontId="0" fillId="5" borderId="0" xfId="0" quotePrefix="1" applyNumberFormat="1" applyFill="1">
      <alignment vertical="center"/>
    </xf>
    <xf numFmtId="0" fontId="0" fillId="6" borderId="1" xfId="0" applyFill="1" applyBorder="1">
      <alignment vertical="center"/>
    </xf>
  </cellXfs>
  <cellStyles count="2">
    <cellStyle name="標準" xfId="0" builtinId="0"/>
    <cellStyle name="標準 2" xfId="1" xr:uid="{417C6655-E4CA-4274-8F60-BD0670EC39E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</xdr:row>
          <xdr:rowOff>238125</xdr:rowOff>
        </xdr:from>
        <xdr:to>
          <xdr:col>1</xdr:col>
          <xdr:colOff>866775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仕入れリスト挿入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4</xdr:row>
          <xdr:rowOff>190500</xdr:rowOff>
        </xdr:from>
        <xdr:to>
          <xdr:col>3</xdr:col>
          <xdr:colOff>685800</xdr:colOff>
          <xdr:row>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SKU生成＋出力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1009650</xdr:colOff>
          <xdr:row>4</xdr:row>
          <xdr:rowOff>152400</xdr:rowOff>
        </xdr:from>
        <xdr:to>
          <xdr:col>4</xdr:col>
          <xdr:colOff>1790700</xdr:colOff>
          <xdr:row>6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検品リスト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2114550</xdr:colOff>
          <xdr:row>4</xdr:row>
          <xdr:rowOff>133350</xdr:rowOff>
        </xdr:from>
        <xdr:to>
          <xdr:col>4</xdr:col>
          <xdr:colOff>4143375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出品CSV生成＋出力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1009650</xdr:colOff>
          <xdr:row>1</xdr:row>
          <xdr:rowOff>219075</xdr:rowOff>
        </xdr:from>
        <xdr:to>
          <xdr:col>4</xdr:col>
          <xdr:colOff>1790700</xdr:colOff>
          <xdr:row>3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全削除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1</xdr:row>
          <xdr:rowOff>228600</xdr:rowOff>
        </xdr:from>
        <xdr:to>
          <xdr:col>3</xdr:col>
          <xdr:colOff>685800</xdr:colOff>
          <xdr:row>3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ピッキングリスト挿入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4</xdr:row>
          <xdr:rowOff>95250</xdr:rowOff>
        </xdr:from>
        <xdr:to>
          <xdr:col>7</xdr:col>
          <xdr:colOff>895350</xdr:colOff>
          <xdr:row>5</xdr:row>
          <xdr:rowOff>238125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4</xdr:row>
          <xdr:rowOff>76200</xdr:rowOff>
        </xdr:from>
        <xdr:to>
          <xdr:col>10</xdr:col>
          <xdr:colOff>476250</xdr:colOff>
          <xdr:row>5</xdr:row>
          <xdr:rowOff>219075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古物台帳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4448175</xdr:colOff>
          <xdr:row>4</xdr:row>
          <xdr:rowOff>133350</xdr:rowOff>
        </xdr:from>
        <xdr:to>
          <xdr:col>5</xdr:col>
          <xdr:colOff>285750</xdr:colOff>
          <xdr:row>6</xdr:row>
          <xdr:rowOff>28575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外注用リスト生成＋出力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4</xdr:row>
          <xdr:rowOff>219075</xdr:rowOff>
        </xdr:from>
        <xdr:to>
          <xdr:col>1</xdr:col>
          <xdr:colOff>838200</xdr:colOff>
          <xdr:row>6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Q挿入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2133600</xdr:colOff>
          <xdr:row>1</xdr:row>
          <xdr:rowOff>219075</xdr:rowOff>
        </xdr:from>
        <xdr:to>
          <xdr:col>4</xdr:col>
          <xdr:colOff>4162425</xdr:colOff>
          <xdr:row>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仕入先時間補完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4486275</xdr:colOff>
          <xdr:row>1</xdr:row>
          <xdr:rowOff>180975</xdr:rowOff>
        </xdr:from>
        <xdr:to>
          <xdr:col>5</xdr:col>
          <xdr:colOff>295275</xdr:colOff>
          <xdr:row>3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サマリー生成＋出力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33C2-FE1D-4048-90C6-807A6DD162B4}">
  <sheetPr codeName="Sheet1"/>
  <dimension ref="A1:Q42"/>
  <sheetViews>
    <sheetView tabSelected="1" zoomScale="75" zoomScaleNormal="75" workbookViewId="0">
      <pane ySplit="9" topLeftCell="A19" activePane="bottomLeft" state="frozen"/>
      <selection pane="bottomLeft" activeCell="K41" sqref="K41"/>
    </sheetView>
  </sheetViews>
  <sheetFormatPr defaultRowHeight="18.75" x14ac:dyDescent="0.4"/>
  <cols>
    <col min="1" max="1" width="20.5" bestFit="1" customWidth="1"/>
    <col min="2" max="2" width="17" bestFit="1" customWidth="1"/>
    <col min="3" max="3" width="14.75" bestFit="1" customWidth="1"/>
    <col min="4" max="4" width="16.25" bestFit="1" customWidth="1"/>
    <col min="5" max="5" width="81" bestFit="1" customWidth="1"/>
    <col min="6" max="7" width="11.25" bestFit="1" customWidth="1"/>
    <col min="8" max="8" width="13.25" bestFit="1" customWidth="1"/>
    <col min="9" max="10" width="11.25" bestFit="1" customWidth="1"/>
    <col min="11" max="11" width="15.5" bestFit="1" customWidth="1"/>
    <col min="12" max="14" width="9.25" bestFit="1" customWidth="1"/>
    <col min="15" max="15" width="19.5" bestFit="1" customWidth="1"/>
    <col min="16" max="16" width="17.75" customWidth="1"/>
    <col min="17" max="17" width="11.25" bestFit="1" customWidth="1"/>
  </cols>
  <sheetData>
    <row r="1" spans="1:17" x14ac:dyDescent="0.4">
      <c r="D1" s="2"/>
    </row>
    <row r="2" spans="1:17" x14ac:dyDescent="0.4">
      <c r="D2" s="2"/>
    </row>
    <row r="3" spans="1:17" x14ac:dyDescent="0.4">
      <c r="D3" s="2"/>
    </row>
    <row r="4" spans="1:17" x14ac:dyDescent="0.4">
      <c r="D4" s="2"/>
    </row>
    <row r="5" spans="1:17" x14ac:dyDescent="0.4">
      <c r="D5" s="2"/>
    </row>
    <row r="6" spans="1:17" x14ac:dyDescent="0.4">
      <c r="D6" s="2"/>
    </row>
    <row r="7" spans="1:17" x14ac:dyDescent="0.4">
      <c r="D7" s="2"/>
    </row>
    <row r="8" spans="1:17" x14ac:dyDescent="0.4">
      <c r="D8" s="2"/>
    </row>
    <row r="9" spans="1:17" x14ac:dyDescent="0.4">
      <c r="A9" t="s">
        <v>0</v>
      </c>
      <c r="B9" t="s">
        <v>1</v>
      </c>
      <c r="C9" t="s">
        <v>2</v>
      </c>
      <c r="D9" s="21" t="s">
        <v>408</v>
      </c>
      <c r="E9" t="s">
        <v>4</v>
      </c>
      <c r="F9" t="s">
        <v>5</v>
      </c>
      <c r="G9" t="s">
        <v>6</v>
      </c>
      <c r="H9" t="s">
        <v>7</v>
      </c>
      <c r="I9" t="s">
        <v>8</v>
      </c>
      <c r="J9" t="s">
        <v>9</v>
      </c>
      <c r="K9" t="s">
        <v>10</v>
      </c>
      <c r="L9" t="s">
        <v>11</v>
      </c>
      <c r="M9" t="s">
        <v>12</v>
      </c>
      <c r="N9" t="s">
        <v>13</v>
      </c>
      <c r="O9" t="s">
        <v>14</v>
      </c>
      <c r="P9" t="s">
        <v>15</v>
      </c>
      <c r="Q9" t="s">
        <v>16</v>
      </c>
    </row>
    <row r="10" spans="1:17" s="25" customFormat="1" x14ac:dyDescent="0.4">
      <c r="A10" s="24">
        <v>45883.441666666666</v>
      </c>
      <c r="B10" s="25" t="s">
        <v>307</v>
      </c>
      <c r="C10" s="25" t="s">
        <v>338</v>
      </c>
      <c r="D10" s="26" t="s">
        <v>409</v>
      </c>
      <c r="E10" s="25" t="s">
        <v>339</v>
      </c>
      <c r="F10" s="25">
        <v>1</v>
      </c>
      <c r="G10" s="25">
        <v>550</v>
      </c>
      <c r="H10" s="25">
        <v>1780</v>
      </c>
      <c r="I10" s="25">
        <v>471</v>
      </c>
      <c r="J10" s="25">
        <v>1216</v>
      </c>
      <c r="L10" s="25">
        <v>1848</v>
      </c>
      <c r="M10" s="25" t="s">
        <v>305</v>
      </c>
      <c r="Q10" s="25">
        <v>0</v>
      </c>
    </row>
    <row r="11" spans="1:17" s="25" customFormat="1" x14ac:dyDescent="0.4">
      <c r="A11" s="24">
        <v>45883.443055555559</v>
      </c>
      <c r="B11" s="25" t="s">
        <v>307</v>
      </c>
      <c r="C11" s="25" t="s">
        <v>340</v>
      </c>
      <c r="D11" s="26" t="s">
        <v>410</v>
      </c>
      <c r="E11" s="25" t="s">
        <v>341</v>
      </c>
      <c r="F11" s="25">
        <v>1</v>
      </c>
      <c r="G11" s="25">
        <v>550</v>
      </c>
      <c r="H11" s="25">
        <v>1477</v>
      </c>
      <c r="I11" s="25">
        <v>477</v>
      </c>
      <c r="J11" s="25">
        <v>867</v>
      </c>
      <c r="L11" s="25">
        <v>0</v>
      </c>
      <c r="M11" s="25" t="s">
        <v>305</v>
      </c>
      <c r="Q11" s="25">
        <v>0</v>
      </c>
    </row>
    <row r="12" spans="1:17" s="25" customFormat="1" x14ac:dyDescent="0.4">
      <c r="A12" s="24">
        <v>45883.445138888892</v>
      </c>
      <c r="B12" s="25" t="s">
        <v>304</v>
      </c>
      <c r="C12" s="25" t="s">
        <v>342</v>
      </c>
      <c r="D12" s="26" t="s">
        <v>411</v>
      </c>
      <c r="E12" s="25" t="s">
        <v>343</v>
      </c>
      <c r="F12" s="25">
        <v>1</v>
      </c>
      <c r="G12" s="25">
        <v>880</v>
      </c>
      <c r="H12" s="25">
        <v>2980</v>
      </c>
      <c r="I12" s="25">
        <v>1094</v>
      </c>
      <c r="J12" s="25">
        <v>1669</v>
      </c>
      <c r="L12" s="25">
        <v>5940</v>
      </c>
      <c r="M12" s="25" t="s">
        <v>305</v>
      </c>
      <c r="Q12" s="25">
        <v>0</v>
      </c>
    </row>
    <row r="13" spans="1:17" s="25" customFormat="1" x14ac:dyDescent="0.4">
      <c r="A13" s="24">
        <v>45883.455555555556</v>
      </c>
      <c r="B13" s="25" t="s">
        <v>304</v>
      </c>
      <c r="C13" s="25" t="s">
        <v>344</v>
      </c>
      <c r="D13" s="26" t="s">
        <v>412</v>
      </c>
      <c r="E13" s="25" t="s">
        <v>345</v>
      </c>
      <c r="F13" s="25">
        <v>1</v>
      </c>
      <c r="G13" s="25">
        <v>550</v>
      </c>
      <c r="H13" s="25">
        <v>2500</v>
      </c>
      <c r="I13" s="25">
        <v>1210</v>
      </c>
      <c r="J13" s="25">
        <v>1140</v>
      </c>
      <c r="L13" s="25">
        <v>0</v>
      </c>
      <c r="M13" s="25" t="s">
        <v>305</v>
      </c>
      <c r="Q13" s="25">
        <v>0</v>
      </c>
    </row>
    <row r="14" spans="1:17" s="25" customFormat="1" x14ac:dyDescent="0.4">
      <c r="A14" s="24">
        <v>45883.457638888889</v>
      </c>
      <c r="B14" s="25" t="s">
        <v>304</v>
      </c>
      <c r="C14" s="25" t="s">
        <v>346</v>
      </c>
      <c r="D14" s="26" t="s">
        <v>413</v>
      </c>
      <c r="E14" s="25" t="s">
        <v>347</v>
      </c>
      <c r="F14" s="25">
        <v>1</v>
      </c>
      <c r="G14" s="25">
        <v>1320</v>
      </c>
      <c r="H14" s="25">
        <v>4500</v>
      </c>
      <c r="I14" s="25">
        <v>2200</v>
      </c>
      <c r="J14" s="25">
        <v>2028</v>
      </c>
      <c r="L14" s="25">
        <v>5830</v>
      </c>
      <c r="M14" s="25" t="s">
        <v>305</v>
      </c>
      <c r="Q14" s="25">
        <v>0</v>
      </c>
    </row>
    <row r="15" spans="1:17" s="25" customFormat="1" x14ac:dyDescent="0.4">
      <c r="A15" s="24">
        <v>45883.462500000001</v>
      </c>
      <c r="B15" s="25" t="s">
        <v>304</v>
      </c>
      <c r="C15" s="25" t="s">
        <v>348</v>
      </c>
      <c r="D15" s="26" t="s">
        <v>414</v>
      </c>
      <c r="E15" s="25" t="s">
        <v>349</v>
      </c>
      <c r="F15" s="25">
        <v>1</v>
      </c>
      <c r="G15" s="25">
        <v>1320</v>
      </c>
      <c r="H15" s="25">
        <v>4801</v>
      </c>
      <c r="I15" s="25">
        <v>2278</v>
      </c>
      <c r="J15" s="25">
        <v>2242</v>
      </c>
      <c r="L15" s="25">
        <v>9020</v>
      </c>
      <c r="M15" s="25" t="s">
        <v>305</v>
      </c>
      <c r="Q15" s="25">
        <v>0</v>
      </c>
    </row>
    <row r="16" spans="1:17" s="25" customFormat="1" x14ac:dyDescent="0.4">
      <c r="A16" s="24">
        <v>45883.474305555559</v>
      </c>
      <c r="B16" s="25" t="s">
        <v>304</v>
      </c>
      <c r="C16" s="25" t="s">
        <v>350</v>
      </c>
      <c r="D16" s="26" t="s">
        <v>415</v>
      </c>
      <c r="E16" s="25" t="s">
        <v>351</v>
      </c>
      <c r="F16" s="25">
        <v>1</v>
      </c>
      <c r="G16" s="25">
        <v>580</v>
      </c>
      <c r="H16" s="25">
        <v>2600</v>
      </c>
      <c r="I16" s="25">
        <v>1473</v>
      </c>
      <c r="J16" s="25">
        <v>912</v>
      </c>
      <c r="L16" s="25">
        <v>13200</v>
      </c>
      <c r="M16" s="25" t="s">
        <v>305</v>
      </c>
      <c r="Q16" s="25">
        <v>0</v>
      </c>
    </row>
    <row r="17" spans="1:17" s="25" customFormat="1" x14ac:dyDescent="0.4">
      <c r="A17" s="24">
        <v>45883.51458333333</v>
      </c>
      <c r="B17" s="25" t="s">
        <v>304</v>
      </c>
      <c r="C17" s="25" t="s">
        <v>352</v>
      </c>
      <c r="D17" s="26" t="s">
        <v>416</v>
      </c>
      <c r="E17" s="25" t="s">
        <v>353</v>
      </c>
      <c r="F17" s="25">
        <v>1</v>
      </c>
      <c r="G17" s="25">
        <v>550</v>
      </c>
      <c r="H17" s="25">
        <v>2800</v>
      </c>
      <c r="I17" s="25">
        <v>1428</v>
      </c>
      <c r="J17" s="25">
        <v>1196</v>
      </c>
      <c r="L17" s="25">
        <v>6050</v>
      </c>
      <c r="M17" s="25" t="s">
        <v>305</v>
      </c>
      <c r="Q17" s="25">
        <v>0</v>
      </c>
    </row>
    <row r="18" spans="1:17" s="25" customFormat="1" x14ac:dyDescent="0.4">
      <c r="A18" s="24">
        <v>45883.517361111109</v>
      </c>
      <c r="B18" s="25" t="s">
        <v>304</v>
      </c>
      <c r="C18" s="25" t="s">
        <v>354</v>
      </c>
      <c r="D18" s="26" t="s">
        <v>417</v>
      </c>
      <c r="E18" s="25" t="s">
        <v>355</v>
      </c>
      <c r="F18" s="25">
        <v>1</v>
      </c>
      <c r="G18" s="25">
        <v>3300</v>
      </c>
      <c r="H18" s="25">
        <v>12000</v>
      </c>
      <c r="I18" s="25">
        <v>7179</v>
      </c>
      <c r="J18" s="25">
        <v>4128</v>
      </c>
      <c r="L18" s="25">
        <v>0</v>
      </c>
      <c r="M18" s="25" t="s">
        <v>305</v>
      </c>
      <c r="Q18" s="25">
        <v>0</v>
      </c>
    </row>
    <row r="19" spans="1:17" s="25" customFormat="1" x14ac:dyDescent="0.4">
      <c r="A19" s="24">
        <v>45883.524305555555</v>
      </c>
      <c r="B19" s="25" t="s">
        <v>304</v>
      </c>
      <c r="C19" s="25" t="s">
        <v>356</v>
      </c>
      <c r="D19" s="26" t="s">
        <v>418</v>
      </c>
      <c r="E19" s="25" t="s">
        <v>357</v>
      </c>
      <c r="F19" s="25">
        <v>1</v>
      </c>
      <c r="G19" s="25">
        <v>880</v>
      </c>
      <c r="H19" s="25">
        <v>2190</v>
      </c>
      <c r="I19" s="25">
        <v>604</v>
      </c>
      <c r="J19" s="25">
        <v>1511</v>
      </c>
      <c r="L19" s="25">
        <v>5500</v>
      </c>
      <c r="M19" s="25" t="s">
        <v>305</v>
      </c>
      <c r="Q19" s="25">
        <v>0</v>
      </c>
    </row>
    <row r="20" spans="1:17" s="25" customFormat="1" x14ac:dyDescent="0.4">
      <c r="A20" s="24">
        <v>45883.525000000001</v>
      </c>
      <c r="B20" s="25" t="s">
        <v>304</v>
      </c>
      <c r="C20" s="25" t="s">
        <v>358</v>
      </c>
      <c r="D20" s="26" t="s">
        <v>419</v>
      </c>
      <c r="E20" s="25" t="s">
        <v>359</v>
      </c>
      <c r="F20" s="25">
        <v>1</v>
      </c>
      <c r="G20" s="25">
        <v>330</v>
      </c>
      <c r="H20" s="25">
        <v>2450</v>
      </c>
      <c r="I20" s="25">
        <v>1385</v>
      </c>
      <c r="J20" s="25">
        <v>819</v>
      </c>
      <c r="L20" s="25">
        <v>7378</v>
      </c>
      <c r="M20" s="25" t="s">
        <v>305</v>
      </c>
      <c r="Q20" s="25">
        <v>0</v>
      </c>
    </row>
    <row r="21" spans="1:17" s="25" customFormat="1" x14ac:dyDescent="0.4">
      <c r="A21" s="24">
        <v>45883.527083333334</v>
      </c>
      <c r="B21" s="25" t="s">
        <v>304</v>
      </c>
      <c r="C21" s="25" t="s">
        <v>360</v>
      </c>
      <c r="D21" s="26" t="s">
        <v>420</v>
      </c>
      <c r="E21" s="25" t="s">
        <v>361</v>
      </c>
      <c r="F21" s="25">
        <v>1</v>
      </c>
      <c r="G21" s="25">
        <v>880</v>
      </c>
      <c r="H21" s="25">
        <v>3300</v>
      </c>
      <c r="I21" s="25">
        <v>1433</v>
      </c>
      <c r="J21" s="25">
        <v>1690</v>
      </c>
      <c r="L21" s="25">
        <v>7680</v>
      </c>
      <c r="M21" s="25" t="s">
        <v>305</v>
      </c>
      <c r="Q21" s="25">
        <v>0</v>
      </c>
    </row>
    <row r="22" spans="1:17" s="25" customFormat="1" x14ac:dyDescent="0.4">
      <c r="A22" s="24">
        <v>45883.540277777778</v>
      </c>
      <c r="B22" s="25" t="s">
        <v>306</v>
      </c>
      <c r="C22" s="25" t="s">
        <v>362</v>
      </c>
      <c r="D22" s="26" t="s">
        <v>421</v>
      </c>
      <c r="E22" s="25" t="s">
        <v>363</v>
      </c>
      <c r="F22" s="25">
        <v>1</v>
      </c>
      <c r="G22" s="25">
        <v>1650</v>
      </c>
      <c r="H22" s="25">
        <v>3980</v>
      </c>
      <c r="I22" s="25">
        <v>1159</v>
      </c>
      <c r="J22" s="25">
        <v>2592</v>
      </c>
      <c r="L22" s="25">
        <v>0</v>
      </c>
      <c r="M22" s="25" t="s">
        <v>305</v>
      </c>
      <c r="Q22" s="25">
        <v>0</v>
      </c>
    </row>
    <row r="23" spans="1:17" s="25" customFormat="1" x14ac:dyDescent="0.4">
      <c r="A23" s="24">
        <v>45883.543749999997</v>
      </c>
      <c r="B23" s="25" t="s">
        <v>307</v>
      </c>
      <c r="C23" s="25" t="s">
        <v>364</v>
      </c>
      <c r="D23" s="26" t="s">
        <v>422</v>
      </c>
      <c r="E23" s="25" t="s">
        <v>365</v>
      </c>
      <c r="F23" s="25">
        <v>1</v>
      </c>
      <c r="G23" s="25">
        <v>1650</v>
      </c>
      <c r="H23" s="25">
        <v>4074</v>
      </c>
      <c r="I23" s="25">
        <v>1658</v>
      </c>
      <c r="J23" s="25">
        <v>2211</v>
      </c>
      <c r="L23" s="25">
        <v>4880</v>
      </c>
      <c r="M23" s="25" t="s">
        <v>305</v>
      </c>
      <c r="Q23" s="25">
        <v>0</v>
      </c>
    </row>
    <row r="24" spans="1:17" s="25" customFormat="1" x14ac:dyDescent="0.4">
      <c r="A24" s="24">
        <v>45883.54583333333</v>
      </c>
      <c r="B24" s="25" t="s">
        <v>304</v>
      </c>
      <c r="C24" s="25" t="s">
        <v>366</v>
      </c>
      <c r="D24" s="26" t="s">
        <v>423</v>
      </c>
      <c r="E24" s="25" t="s">
        <v>367</v>
      </c>
      <c r="F24" s="25">
        <v>1</v>
      </c>
      <c r="G24" s="25">
        <v>638</v>
      </c>
      <c r="H24" s="25">
        <v>2000</v>
      </c>
      <c r="I24" s="25">
        <v>677</v>
      </c>
      <c r="J24" s="25">
        <v>1239</v>
      </c>
      <c r="L24" s="25">
        <v>0</v>
      </c>
      <c r="M24" s="25" t="s">
        <v>305</v>
      </c>
      <c r="Q24" s="25">
        <v>0</v>
      </c>
    </row>
    <row r="25" spans="1:17" s="25" customFormat="1" x14ac:dyDescent="0.4">
      <c r="A25" s="24">
        <v>45883.548611111109</v>
      </c>
      <c r="B25" s="25" t="s">
        <v>306</v>
      </c>
      <c r="C25" s="25" t="s">
        <v>368</v>
      </c>
      <c r="D25" s="26" t="s">
        <v>424</v>
      </c>
      <c r="E25" s="25" t="s">
        <v>369</v>
      </c>
      <c r="F25" s="25">
        <v>2</v>
      </c>
      <c r="G25" s="25">
        <v>528</v>
      </c>
      <c r="H25" s="25">
        <v>1980</v>
      </c>
      <c r="I25" s="25">
        <v>779</v>
      </c>
      <c r="J25" s="25">
        <v>1104</v>
      </c>
      <c r="L25" s="25">
        <v>0</v>
      </c>
      <c r="M25" s="25" t="s">
        <v>305</v>
      </c>
      <c r="Q25" s="25">
        <v>0</v>
      </c>
    </row>
    <row r="26" spans="1:17" s="25" customFormat="1" x14ac:dyDescent="0.4">
      <c r="A26" s="24">
        <v>45883.570833333331</v>
      </c>
      <c r="B26" s="25" t="s">
        <v>307</v>
      </c>
      <c r="C26" s="25" t="s">
        <v>370</v>
      </c>
      <c r="D26" s="26" t="s">
        <v>425</v>
      </c>
      <c r="E26" s="25" t="s">
        <v>371</v>
      </c>
      <c r="F26" s="25">
        <v>1</v>
      </c>
      <c r="G26" s="25">
        <v>220</v>
      </c>
      <c r="H26" s="25">
        <v>1300</v>
      </c>
      <c r="I26" s="25">
        <v>410</v>
      </c>
      <c r="J26" s="25">
        <v>642</v>
      </c>
      <c r="L26" s="25">
        <v>880</v>
      </c>
      <c r="M26" s="25" t="s">
        <v>305</v>
      </c>
      <c r="Q26" s="25">
        <v>0</v>
      </c>
    </row>
    <row r="27" spans="1:17" s="25" customFormat="1" x14ac:dyDescent="0.4">
      <c r="A27" s="24">
        <v>45883.604166666664</v>
      </c>
      <c r="B27" s="25" t="s">
        <v>307</v>
      </c>
      <c r="C27" s="25" t="s">
        <v>372</v>
      </c>
      <c r="D27" s="26" t="s">
        <v>426</v>
      </c>
      <c r="E27" s="25" t="s">
        <v>373</v>
      </c>
      <c r="F27" s="25">
        <v>2</v>
      </c>
      <c r="G27" s="25">
        <v>220</v>
      </c>
      <c r="H27" s="25">
        <v>1300</v>
      </c>
      <c r="I27" s="25">
        <v>503</v>
      </c>
      <c r="J27" s="25">
        <v>621</v>
      </c>
      <c r="L27" s="25">
        <v>0</v>
      </c>
      <c r="M27" s="25" t="s">
        <v>305</v>
      </c>
      <c r="Q27" s="25">
        <v>0</v>
      </c>
    </row>
    <row r="28" spans="1:17" s="25" customFormat="1" x14ac:dyDescent="0.4">
      <c r="A28" s="24">
        <v>45883.607638888891</v>
      </c>
      <c r="B28" s="25" t="s">
        <v>306</v>
      </c>
      <c r="C28" s="25" t="s">
        <v>374</v>
      </c>
      <c r="D28" s="26" t="s">
        <v>427</v>
      </c>
      <c r="E28" s="25" t="s">
        <v>375</v>
      </c>
      <c r="F28" s="25">
        <v>1</v>
      </c>
      <c r="G28" s="25">
        <v>550</v>
      </c>
      <c r="H28" s="25">
        <v>3850</v>
      </c>
      <c r="I28" s="25">
        <v>2558</v>
      </c>
      <c r="J28" s="25">
        <v>901</v>
      </c>
      <c r="L28" s="25">
        <v>0</v>
      </c>
      <c r="M28" s="25" t="s">
        <v>305</v>
      </c>
      <c r="Q28" s="25">
        <v>0</v>
      </c>
    </row>
    <row r="29" spans="1:17" s="28" customFormat="1" x14ac:dyDescent="0.4">
      <c r="A29" s="27">
        <v>45883.620833333334</v>
      </c>
      <c r="B29" s="28" t="s">
        <v>304</v>
      </c>
      <c r="C29" s="28" t="s">
        <v>376</v>
      </c>
      <c r="D29" s="29" t="s">
        <v>428</v>
      </c>
      <c r="E29" s="28" t="s">
        <v>377</v>
      </c>
      <c r="F29" s="28">
        <v>1</v>
      </c>
      <c r="G29" s="28">
        <v>2530</v>
      </c>
      <c r="H29" s="28">
        <v>8800</v>
      </c>
      <c r="I29" s="28">
        <v>4627</v>
      </c>
      <c r="J29" s="28">
        <v>3601</v>
      </c>
      <c r="L29" s="28">
        <v>8580</v>
      </c>
      <c r="M29" s="28" t="s">
        <v>305</v>
      </c>
      <c r="O29" s="28" t="s">
        <v>308</v>
      </c>
      <c r="Q29" s="28">
        <v>0</v>
      </c>
    </row>
    <row r="30" spans="1:17" s="28" customFormat="1" x14ac:dyDescent="0.4">
      <c r="A30" s="27">
        <v>45883.621527777781</v>
      </c>
      <c r="B30" s="28" t="s">
        <v>304</v>
      </c>
      <c r="C30" s="28" t="s">
        <v>378</v>
      </c>
      <c r="D30" s="29" t="s">
        <v>429</v>
      </c>
      <c r="E30" s="28" t="s">
        <v>379</v>
      </c>
      <c r="F30" s="28">
        <v>1</v>
      </c>
      <c r="G30" s="28">
        <v>1430</v>
      </c>
      <c r="H30" s="28">
        <v>7824</v>
      </c>
      <c r="I30" s="28">
        <v>4858</v>
      </c>
      <c r="J30" s="28">
        <v>2365</v>
      </c>
      <c r="K30" s="28" t="s">
        <v>380</v>
      </c>
      <c r="L30" s="28">
        <v>10010</v>
      </c>
      <c r="M30" s="28" t="s">
        <v>305</v>
      </c>
      <c r="O30" s="28" t="s">
        <v>308</v>
      </c>
      <c r="Q30" s="28">
        <v>0</v>
      </c>
    </row>
    <row r="31" spans="1:17" s="25" customFormat="1" x14ac:dyDescent="0.4">
      <c r="A31" s="24">
        <v>45883.640277777777</v>
      </c>
      <c r="B31" s="25" t="s">
        <v>304</v>
      </c>
      <c r="C31" s="25" t="s">
        <v>381</v>
      </c>
      <c r="D31" s="26" t="s">
        <v>430</v>
      </c>
      <c r="E31" s="25" t="s">
        <v>382</v>
      </c>
      <c r="F31" s="25">
        <v>1</v>
      </c>
      <c r="G31" s="25">
        <v>550</v>
      </c>
      <c r="H31" s="25">
        <v>3980</v>
      </c>
      <c r="I31" s="25">
        <v>2537</v>
      </c>
      <c r="J31" s="25">
        <v>1129</v>
      </c>
      <c r="K31" s="25" t="s">
        <v>383</v>
      </c>
      <c r="L31" s="25">
        <v>0</v>
      </c>
      <c r="M31" s="25" t="s">
        <v>305</v>
      </c>
      <c r="Q31" s="25">
        <v>0</v>
      </c>
    </row>
    <row r="32" spans="1:17" s="25" customFormat="1" x14ac:dyDescent="0.4">
      <c r="A32" s="24">
        <v>45883.644444444442</v>
      </c>
      <c r="B32" s="25" t="s">
        <v>304</v>
      </c>
      <c r="C32" s="25" t="s">
        <v>384</v>
      </c>
      <c r="D32" s="26" t="s">
        <v>431</v>
      </c>
      <c r="E32" s="25" t="s">
        <v>385</v>
      </c>
      <c r="F32" s="25">
        <v>1</v>
      </c>
      <c r="G32" s="25">
        <v>3300</v>
      </c>
      <c r="H32" s="25">
        <v>9800</v>
      </c>
      <c r="I32" s="25">
        <v>5173</v>
      </c>
      <c r="J32" s="25">
        <v>4128</v>
      </c>
      <c r="L32" s="25">
        <v>0</v>
      </c>
      <c r="M32" s="25" t="s">
        <v>305</v>
      </c>
      <c r="Q32" s="25">
        <v>0</v>
      </c>
    </row>
    <row r="33" spans="1:17" s="25" customFormat="1" x14ac:dyDescent="0.4">
      <c r="A33" s="24">
        <v>45883.645138888889</v>
      </c>
      <c r="B33" s="25" t="s">
        <v>304</v>
      </c>
      <c r="C33" s="25" t="s">
        <v>386</v>
      </c>
      <c r="D33" s="26" t="s">
        <v>432</v>
      </c>
      <c r="E33" s="25" t="s">
        <v>387</v>
      </c>
      <c r="F33" s="25">
        <v>1</v>
      </c>
      <c r="G33" s="25">
        <v>550</v>
      </c>
      <c r="H33" s="25">
        <v>2200</v>
      </c>
      <c r="I33" s="25">
        <v>943</v>
      </c>
      <c r="J33" s="25">
        <v>1140</v>
      </c>
      <c r="L33" s="25">
        <v>3850</v>
      </c>
      <c r="M33" s="25" t="s">
        <v>305</v>
      </c>
      <c r="Q33" s="25">
        <v>0</v>
      </c>
    </row>
    <row r="34" spans="1:17" s="25" customFormat="1" x14ac:dyDescent="0.4">
      <c r="A34" s="24">
        <v>45883.647916666669</v>
      </c>
      <c r="B34" s="25" t="s">
        <v>388</v>
      </c>
      <c r="C34" s="25" t="s">
        <v>389</v>
      </c>
      <c r="D34" s="26" t="s">
        <v>433</v>
      </c>
      <c r="E34" s="25" t="s">
        <v>390</v>
      </c>
      <c r="F34" s="25">
        <v>1</v>
      </c>
      <c r="G34" s="25">
        <v>1100</v>
      </c>
      <c r="H34" s="25">
        <v>5400</v>
      </c>
      <c r="I34" s="25">
        <v>3311</v>
      </c>
      <c r="J34" s="25">
        <v>1770</v>
      </c>
      <c r="L34" s="25">
        <v>0</v>
      </c>
      <c r="M34" s="25" t="s">
        <v>305</v>
      </c>
      <c r="Q34" s="25">
        <v>0</v>
      </c>
    </row>
    <row r="35" spans="1:17" s="25" customFormat="1" x14ac:dyDescent="0.4">
      <c r="A35" s="24">
        <v>45883.65902777778</v>
      </c>
      <c r="B35" s="25" t="s">
        <v>304</v>
      </c>
      <c r="C35" s="25" t="s">
        <v>391</v>
      </c>
      <c r="D35" s="26" t="s">
        <v>434</v>
      </c>
      <c r="E35" s="25" t="s">
        <v>392</v>
      </c>
      <c r="F35" s="25">
        <v>1</v>
      </c>
      <c r="G35" s="25">
        <v>330</v>
      </c>
      <c r="H35" s="25">
        <v>8800</v>
      </c>
      <c r="I35" s="25">
        <v>7231</v>
      </c>
      <c r="J35" s="25">
        <v>799</v>
      </c>
      <c r="L35" s="25">
        <v>10456</v>
      </c>
      <c r="M35" s="25" t="s">
        <v>305</v>
      </c>
      <c r="Q35" s="25">
        <v>0</v>
      </c>
    </row>
    <row r="36" spans="1:17" s="25" customFormat="1" x14ac:dyDescent="0.4">
      <c r="A36" s="24">
        <v>45883.665277777778</v>
      </c>
      <c r="B36" s="25" t="s">
        <v>306</v>
      </c>
      <c r="C36" s="25" t="s">
        <v>393</v>
      </c>
      <c r="D36" s="26" t="s">
        <v>435</v>
      </c>
      <c r="E36" s="25" t="s">
        <v>394</v>
      </c>
      <c r="F36" s="25">
        <v>1</v>
      </c>
      <c r="G36" s="25">
        <v>330</v>
      </c>
      <c r="H36" s="25">
        <v>1600</v>
      </c>
      <c r="I36" s="25">
        <v>541</v>
      </c>
      <c r="J36" s="25">
        <v>873</v>
      </c>
      <c r="L36" s="25">
        <v>2130</v>
      </c>
      <c r="M36" s="25" t="s">
        <v>305</v>
      </c>
      <c r="Q36" s="25">
        <v>0</v>
      </c>
    </row>
    <row r="37" spans="1:17" s="25" customFormat="1" x14ac:dyDescent="0.4">
      <c r="A37" s="24">
        <v>45883.67083333333</v>
      </c>
      <c r="B37" s="25" t="s">
        <v>388</v>
      </c>
      <c r="C37" s="25" t="s">
        <v>395</v>
      </c>
      <c r="D37" s="26" t="s">
        <v>436</v>
      </c>
      <c r="E37" s="25" t="s">
        <v>396</v>
      </c>
      <c r="F37" s="25">
        <v>1</v>
      </c>
      <c r="G37" s="25">
        <v>330</v>
      </c>
      <c r="H37" s="25">
        <v>4000</v>
      </c>
      <c r="I37" s="25">
        <v>2716</v>
      </c>
      <c r="J37" s="25">
        <v>874</v>
      </c>
      <c r="L37" s="25">
        <v>0</v>
      </c>
      <c r="M37" s="25" t="s">
        <v>305</v>
      </c>
      <c r="Q37" s="25">
        <v>0</v>
      </c>
    </row>
    <row r="38" spans="1:17" s="28" customFormat="1" x14ac:dyDescent="0.4">
      <c r="A38" s="27">
        <v>45883.684027777781</v>
      </c>
      <c r="B38" s="28" t="s">
        <v>304</v>
      </c>
      <c r="C38" s="28" t="s">
        <v>397</v>
      </c>
      <c r="D38" s="29" t="s">
        <v>437</v>
      </c>
      <c r="E38" s="28" t="s">
        <v>398</v>
      </c>
      <c r="F38" s="28">
        <v>1</v>
      </c>
      <c r="G38" s="28">
        <v>550</v>
      </c>
      <c r="H38" s="28">
        <v>2300</v>
      </c>
      <c r="I38" s="28">
        <v>1012</v>
      </c>
      <c r="J38" s="28">
        <v>1163</v>
      </c>
      <c r="L38" s="28">
        <v>3080</v>
      </c>
      <c r="M38" s="28" t="s">
        <v>305</v>
      </c>
      <c r="O38" s="28" t="s">
        <v>308</v>
      </c>
      <c r="Q38" s="28">
        <v>0</v>
      </c>
    </row>
    <row r="39" spans="1:17" s="25" customFormat="1" x14ac:dyDescent="0.4">
      <c r="A39" s="24">
        <v>45883.738888888889</v>
      </c>
      <c r="B39" s="25" t="s">
        <v>304</v>
      </c>
      <c r="C39" s="25" t="s">
        <v>400</v>
      </c>
      <c r="D39" s="26" t="s">
        <v>438</v>
      </c>
      <c r="E39" s="25" t="s">
        <v>401</v>
      </c>
      <c r="F39" s="25">
        <v>1</v>
      </c>
      <c r="G39" s="25">
        <v>550</v>
      </c>
      <c r="H39" s="25">
        <v>2178</v>
      </c>
      <c r="I39" s="25">
        <v>804</v>
      </c>
      <c r="J39" s="25">
        <v>1216</v>
      </c>
      <c r="L39" s="25">
        <v>1760</v>
      </c>
      <c r="M39" s="25" t="s">
        <v>305</v>
      </c>
      <c r="Q39" s="25">
        <v>0</v>
      </c>
    </row>
    <row r="40" spans="1:17" s="25" customFormat="1" x14ac:dyDescent="0.4">
      <c r="A40" s="24">
        <v>45883.745833333334</v>
      </c>
      <c r="B40" s="25" t="s">
        <v>304</v>
      </c>
      <c r="C40" s="25" t="s">
        <v>402</v>
      </c>
      <c r="D40" s="26" t="s">
        <v>439</v>
      </c>
      <c r="E40" s="25" t="s">
        <v>403</v>
      </c>
      <c r="F40" s="25">
        <v>1</v>
      </c>
      <c r="G40" s="25">
        <v>880</v>
      </c>
      <c r="H40" s="25">
        <v>2980</v>
      </c>
      <c r="I40" s="25">
        <v>1123</v>
      </c>
      <c r="J40" s="25">
        <v>1635</v>
      </c>
      <c r="L40" s="25">
        <v>4180</v>
      </c>
      <c r="M40" s="25" t="s">
        <v>305</v>
      </c>
      <c r="Q40" s="25">
        <v>0</v>
      </c>
    </row>
    <row r="41" spans="1:17" s="25" customFormat="1" x14ac:dyDescent="0.4">
      <c r="A41" s="24">
        <v>45883.750694444447</v>
      </c>
      <c r="B41" s="25" t="s">
        <v>304</v>
      </c>
      <c r="C41" s="25" t="s">
        <v>404</v>
      </c>
      <c r="D41" s="26" t="s">
        <v>440</v>
      </c>
      <c r="E41" s="25" t="s">
        <v>405</v>
      </c>
      <c r="F41" s="25">
        <v>1</v>
      </c>
      <c r="G41" s="25">
        <v>550</v>
      </c>
      <c r="H41" s="25">
        <v>3800</v>
      </c>
      <c r="I41" s="25">
        <v>2347</v>
      </c>
      <c r="J41" s="25">
        <v>1163</v>
      </c>
      <c r="L41" s="25">
        <v>0</v>
      </c>
      <c r="M41" s="25" t="s">
        <v>305</v>
      </c>
      <c r="Q41" s="25">
        <v>0</v>
      </c>
    </row>
    <row r="42" spans="1:17" s="25" customFormat="1" x14ac:dyDescent="0.4">
      <c r="A42" s="24">
        <v>45883.752083333333</v>
      </c>
      <c r="B42" s="25" t="s">
        <v>304</v>
      </c>
      <c r="C42" s="25" t="s">
        <v>406</v>
      </c>
      <c r="D42" s="26" t="s">
        <v>441</v>
      </c>
      <c r="E42" s="25" t="s">
        <v>407</v>
      </c>
      <c r="F42" s="25">
        <v>1</v>
      </c>
      <c r="G42" s="25">
        <v>1650</v>
      </c>
      <c r="H42" s="25">
        <v>4199</v>
      </c>
      <c r="I42" s="25">
        <v>1306</v>
      </c>
      <c r="J42" s="25">
        <v>2731</v>
      </c>
      <c r="L42" s="25">
        <v>8030</v>
      </c>
      <c r="M42" s="25" t="s">
        <v>305</v>
      </c>
      <c r="Q42" s="25">
        <v>0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CSV_ConvertToXLSX_AndJanFix_Fixed">
                <anchor moveWithCells="1" sizeWithCells="1">
                  <from>
                    <xdr:col>0</xdr:col>
                    <xdr:colOff>400050</xdr:colOff>
                    <xdr:row>1</xdr:row>
                    <xdr:rowOff>238125</xdr:rowOff>
                  </from>
                  <to>
                    <xdr:col>1</xdr:col>
                    <xdr:colOff>866775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ndExport_SKUList_Both">
                <anchor moveWithCells="1" sizeWithCells="1">
                  <from>
                    <xdr:col>1</xdr:col>
                    <xdr:colOff>1095375</xdr:colOff>
                    <xdr:row>4</xdr:row>
                    <xdr:rowOff>190500</xdr:rowOff>
                  </from>
                  <to>
                    <xdr:col>3</xdr:col>
                    <xdr:colOff>685800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InspectionList">
                <anchor moveWithCells="1" sizeWithCells="1">
                  <from>
                    <xdr:col>3</xdr:col>
                    <xdr:colOff>1009650</xdr:colOff>
                    <xdr:row>4</xdr:row>
                    <xdr:rowOff>152400</xdr:rowOff>
                  </from>
                  <to>
                    <xdr:col>4</xdr:col>
                    <xdr:colOff>1790700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enerateAndExport_ListingCSV">
                <anchor moveWithCells="1" sizeWithCells="1">
                  <from>
                    <xdr:col>4</xdr:col>
                    <xdr:colOff>2114550</xdr:colOff>
                    <xdr:row>4</xdr:row>
                    <xdr:rowOff>133350</xdr:rowOff>
                  </from>
                  <to>
                    <xdr:col>4</xdr:col>
                    <xdr:colOff>4143375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全削除処理">
                <anchor moveWithCells="1" sizeWithCells="1">
                  <from>
                    <xdr:col>3</xdr:col>
                    <xdr:colOff>1009650</xdr:colOff>
                    <xdr:row>1</xdr:row>
                    <xdr:rowOff>219075</xdr:rowOff>
                  </from>
                  <to>
                    <xdr:col>4</xdr:col>
                    <xdr:colOff>1790700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ImportPickingList">
                <anchor moveWithCells="1" sizeWithCells="1">
                  <from>
                    <xdr:col>1</xdr:col>
                    <xdr:colOff>1095375</xdr:colOff>
                    <xdr:row>1</xdr:row>
                    <xdr:rowOff>228600</xdr:rowOff>
                  </from>
                  <to>
                    <xdr:col>3</xdr:col>
                    <xdr:colOff>685800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ExportToExternalDB_WithDedup_Safe">
                <anchor moveWithCells="1" sizeWithCells="1">
                  <from>
                    <xdr:col>5</xdr:col>
                    <xdr:colOff>628650</xdr:colOff>
                    <xdr:row>4</xdr:row>
                    <xdr:rowOff>95250</xdr:rowOff>
                  </from>
                  <to>
                    <xdr:col>7</xdr:col>
                    <xdr:colOff>895350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古物台帳出力">
                <anchor moveWithCells="1" sizeWithCells="1">
                  <from>
                    <xdr:col>8</xdr:col>
                    <xdr:colOff>200025</xdr:colOff>
                    <xdr:row>4</xdr:row>
                    <xdr:rowOff>76200</xdr:rowOff>
                  </from>
                  <to>
                    <xdr:col>10</xdr:col>
                    <xdr:colOff>476250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CreateAndExport_OutsourceList_XLSX">
                <anchor moveWithCells="1" sizeWithCells="1">
                  <from>
                    <xdr:col>4</xdr:col>
                    <xdr:colOff>4448175</xdr:colOff>
                    <xdr:row>4</xdr:row>
                    <xdr:rowOff>133350</xdr:rowOff>
                  </from>
                  <to>
                    <xdr:col>5</xdr:col>
                    <xdr:colOff>285750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AutoTag_Q3_Q4_WithColor">
                <anchor moveWithCells="1" sizeWithCells="1">
                  <from>
                    <xdr:col>0</xdr:col>
                    <xdr:colOff>371475</xdr:colOff>
                    <xdr:row>4</xdr:row>
                    <xdr:rowOff>219075</xdr:rowOff>
                  </from>
                  <to>
                    <xdr:col>1</xdr:col>
                    <xdr:colOff>838200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[0]!AutoFill_StoreCode_FromTime">
                <anchor moveWithCells="1" sizeWithCells="1">
                  <from>
                    <xdr:col>4</xdr:col>
                    <xdr:colOff>2133600</xdr:colOff>
                    <xdr:row>1</xdr:row>
                    <xdr:rowOff>219075</xdr:rowOff>
                  </from>
                  <to>
                    <xdr:col>4</xdr:col>
                    <xdr:colOff>4162425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Button 17">
              <controlPr defaultSize="0" print="0" autoFill="0" autoPict="0" macro="[0]!GenerateAndExportVisitSummaries">
                <anchor moveWithCells="1" sizeWithCells="1">
                  <from>
                    <xdr:col>4</xdr:col>
                    <xdr:colOff>4486275</xdr:colOff>
                    <xdr:row>1</xdr:row>
                    <xdr:rowOff>180975</xdr:rowOff>
                  </from>
                  <to>
                    <xdr:col>5</xdr:col>
                    <xdr:colOff>295275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B385-6FB7-4E6D-BE20-C6B6335C9376}">
  <sheetPr codeName="Sheet2"/>
  <dimension ref="A1:AA34"/>
  <sheetViews>
    <sheetView zoomScale="85" zoomScaleNormal="85" workbookViewId="0">
      <selection activeCell="E10" sqref="E10"/>
    </sheetView>
  </sheetViews>
  <sheetFormatPr defaultRowHeight="18.75" x14ac:dyDescent="0.4"/>
  <cols>
    <col min="1" max="1" width="20" bestFit="1" customWidth="1"/>
    <col min="2" max="2" width="16.75" bestFit="1" customWidth="1"/>
    <col min="3" max="3" width="14.75" bestFit="1" customWidth="1"/>
    <col min="4" max="4" width="15.875" bestFit="1" customWidth="1"/>
    <col min="5" max="5" width="74.125" customWidth="1"/>
    <col min="16" max="16" width="34.25" bestFit="1" customWidth="1"/>
    <col min="27" max="27" width="15.25" bestFit="1" customWidth="1"/>
  </cols>
  <sheetData>
    <row r="1" spans="1:27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/>
      <c r="S1" s="1"/>
      <c r="AA1" s="2"/>
    </row>
    <row r="2" spans="1:27" x14ac:dyDescent="0.4">
      <c r="A2" s="24">
        <v>45883.441666666666</v>
      </c>
      <c r="B2" s="25" t="s">
        <v>307</v>
      </c>
      <c r="C2" s="25" t="s">
        <v>338</v>
      </c>
      <c r="D2" s="26" t="s">
        <v>409</v>
      </c>
      <c r="E2" s="25" t="s">
        <v>339</v>
      </c>
      <c r="F2" s="25">
        <v>1</v>
      </c>
      <c r="G2" s="25">
        <v>550</v>
      </c>
      <c r="H2" s="25">
        <v>1780</v>
      </c>
      <c r="I2" s="25">
        <v>471</v>
      </c>
      <c r="J2" s="25">
        <v>1216</v>
      </c>
      <c r="K2" s="25"/>
      <c r="L2" s="25">
        <v>1848</v>
      </c>
      <c r="M2" s="25" t="s">
        <v>305</v>
      </c>
      <c r="N2" s="25" t="s">
        <v>55</v>
      </c>
      <c r="O2" s="25"/>
      <c r="P2" s="25" t="s">
        <v>442</v>
      </c>
      <c r="Q2" s="25">
        <v>0</v>
      </c>
      <c r="R2" s="25"/>
      <c r="S2" s="25"/>
    </row>
    <row r="3" spans="1:27" x14ac:dyDescent="0.4">
      <c r="A3" s="24">
        <v>45883.443055555559</v>
      </c>
      <c r="B3" s="25" t="s">
        <v>307</v>
      </c>
      <c r="C3" s="25" t="s">
        <v>340</v>
      </c>
      <c r="D3" s="26" t="s">
        <v>410</v>
      </c>
      <c r="E3" s="25" t="s">
        <v>341</v>
      </c>
      <c r="F3" s="25">
        <v>1</v>
      </c>
      <c r="G3" s="25">
        <v>550</v>
      </c>
      <c r="H3" s="25">
        <v>1477</v>
      </c>
      <c r="I3" s="25">
        <v>477</v>
      </c>
      <c r="J3" s="25">
        <v>867</v>
      </c>
      <c r="K3" s="25"/>
      <c r="L3" s="25">
        <v>0</v>
      </c>
      <c r="M3" s="25" t="s">
        <v>305</v>
      </c>
      <c r="N3" s="25" t="s">
        <v>55</v>
      </c>
      <c r="O3" s="25"/>
      <c r="P3" s="25" t="s">
        <v>443</v>
      </c>
      <c r="Q3" s="25">
        <v>0</v>
      </c>
      <c r="R3" s="25"/>
      <c r="S3" s="25"/>
    </row>
    <row r="4" spans="1:27" x14ac:dyDescent="0.4">
      <c r="A4" s="24">
        <v>45883.445138888892</v>
      </c>
      <c r="B4" s="25" t="s">
        <v>304</v>
      </c>
      <c r="C4" s="25" t="s">
        <v>342</v>
      </c>
      <c r="D4" s="26" t="s">
        <v>411</v>
      </c>
      <c r="E4" s="25" t="s">
        <v>343</v>
      </c>
      <c r="F4" s="25">
        <v>1</v>
      </c>
      <c r="G4" s="25">
        <v>880</v>
      </c>
      <c r="H4" s="25">
        <v>2980</v>
      </c>
      <c r="I4" s="25">
        <v>1094</v>
      </c>
      <c r="J4" s="25">
        <v>1669</v>
      </c>
      <c r="K4" s="25"/>
      <c r="L4" s="25">
        <v>5940</v>
      </c>
      <c r="M4" s="25" t="s">
        <v>305</v>
      </c>
      <c r="N4" s="25" t="s">
        <v>55</v>
      </c>
      <c r="O4" s="25"/>
      <c r="P4" s="25" t="s">
        <v>444</v>
      </c>
      <c r="Q4" s="25">
        <v>0</v>
      </c>
      <c r="R4" s="25"/>
      <c r="S4" s="25"/>
    </row>
    <row r="5" spans="1:27" x14ac:dyDescent="0.4">
      <c r="A5" s="24">
        <v>45883.455555555556</v>
      </c>
      <c r="B5" s="25" t="s">
        <v>304</v>
      </c>
      <c r="C5" s="25" t="s">
        <v>344</v>
      </c>
      <c r="D5" s="26" t="s">
        <v>412</v>
      </c>
      <c r="E5" s="25" t="s">
        <v>345</v>
      </c>
      <c r="F5" s="25">
        <v>1</v>
      </c>
      <c r="G5" s="25">
        <v>550</v>
      </c>
      <c r="H5" s="25">
        <v>2500</v>
      </c>
      <c r="I5" s="25">
        <v>1210</v>
      </c>
      <c r="J5" s="25">
        <v>1140</v>
      </c>
      <c r="K5" s="25"/>
      <c r="L5" s="25">
        <v>0</v>
      </c>
      <c r="M5" s="25" t="s">
        <v>305</v>
      </c>
      <c r="N5" s="25" t="s">
        <v>55</v>
      </c>
      <c r="O5" s="25"/>
      <c r="P5" s="25" t="s">
        <v>445</v>
      </c>
      <c r="Q5" s="25">
        <v>0</v>
      </c>
      <c r="R5" s="25"/>
      <c r="S5" s="25"/>
    </row>
    <row r="6" spans="1:27" x14ac:dyDescent="0.4">
      <c r="A6" s="24">
        <v>45883.457638888889</v>
      </c>
      <c r="B6" s="25" t="s">
        <v>304</v>
      </c>
      <c r="C6" s="25" t="s">
        <v>346</v>
      </c>
      <c r="D6" s="26" t="s">
        <v>413</v>
      </c>
      <c r="E6" s="25" t="s">
        <v>347</v>
      </c>
      <c r="F6" s="25">
        <v>1</v>
      </c>
      <c r="G6" s="25">
        <v>1320</v>
      </c>
      <c r="H6" s="25">
        <v>4500</v>
      </c>
      <c r="I6" s="25">
        <v>2200</v>
      </c>
      <c r="J6" s="25">
        <v>2028</v>
      </c>
      <c r="K6" s="25"/>
      <c r="L6" s="25">
        <v>5830</v>
      </c>
      <c r="M6" s="25" t="s">
        <v>305</v>
      </c>
      <c r="N6" s="25" t="s">
        <v>55</v>
      </c>
      <c r="O6" s="25"/>
      <c r="P6" s="25" t="s">
        <v>446</v>
      </c>
      <c r="Q6" s="25">
        <v>0</v>
      </c>
      <c r="R6" s="25"/>
      <c r="S6" s="25"/>
    </row>
    <row r="7" spans="1:27" x14ac:dyDescent="0.4">
      <c r="A7" s="24">
        <v>45883.462500000001</v>
      </c>
      <c r="B7" s="25" t="s">
        <v>304</v>
      </c>
      <c r="C7" s="25" t="s">
        <v>348</v>
      </c>
      <c r="D7" s="26" t="s">
        <v>414</v>
      </c>
      <c r="E7" s="25" t="s">
        <v>349</v>
      </c>
      <c r="F7" s="25">
        <v>1</v>
      </c>
      <c r="G7" s="25">
        <v>1320</v>
      </c>
      <c r="H7" s="25">
        <v>4801</v>
      </c>
      <c r="I7" s="25">
        <v>2278</v>
      </c>
      <c r="J7" s="25">
        <v>2242</v>
      </c>
      <c r="K7" s="25"/>
      <c r="L7" s="25">
        <v>9020</v>
      </c>
      <c r="M7" s="25" t="s">
        <v>305</v>
      </c>
      <c r="N7" s="25" t="s">
        <v>55</v>
      </c>
      <c r="O7" s="25"/>
      <c r="P7" s="25" t="s">
        <v>447</v>
      </c>
      <c r="Q7" s="25">
        <v>0</v>
      </c>
      <c r="R7" s="25"/>
      <c r="S7" s="25"/>
    </row>
    <row r="8" spans="1:27" x14ac:dyDescent="0.4">
      <c r="A8" s="24">
        <v>45883.474305555559</v>
      </c>
      <c r="B8" s="25" t="s">
        <v>304</v>
      </c>
      <c r="C8" s="25" t="s">
        <v>350</v>
      </c>
      <c r="D8" s="26" t="s">
        <v>415</v>
      </c>
      <c r="E8" s="25" t="s">
        <v>351</v>
      </c>
      <c r="F8" s="25">
        <v>1</v>
      </c>
      <c r="G8" s="25">
        <v>580</v>
      </c>
      <c r="H8" s="25">
        <v>2600</v>
      </c>
      <c r="I8" s="25">
        <v>1473</v>
      </c>
      <c r="J8" s="25">
        <v>912</v>
      </c>
      <c r="K8" s="25"/>
      <c r="L8" s="25">
        <v>13200</v>
      </c>
      <c r="M8" s="25" t="s">
        <v>305</v>
      </c>
      <c r="N8" s="25" t="s">
        <v>55</v>
      </c>
      <c r="O8" s="25"/>
      <c r="P8" s="25" t="s">
        <v>448</v>
      </c>
      <c r="Q8" s="25">
        <v>0</v>
      </c>
      <c r="R8" s="25"/>
      <c r="S8" s="25"/>
    </row>
    <row r="9" spans="1:27" x14ac:dyDescent="0.4">
      <c r="A9" s="24">
        <v>45883.51458333333</v>
      </c>
      <c r="B9" s="25" t="s">
        <v>304</v>
      </c>
      <c r="C9" s="25" t="s">
        <v>352</v>
      </c>
      <c r="D9" s="26" t="s">
        <v>416</v>
      </c>
      <c r="E9" s="25" t="s">
        <v>353</v>
      </c>
      <c r="F9" s="25">
        <v>1</v>
      </c>
      <c r="G9" s="25">
        <v>550</v>
      </c>
      <c r="H9" s="25">
        <v>2800</v>
      </c>
      <c r="I9" s="25">
        <v>1428</v>
      </c>
      <c r="J9" s="25">
        <v>1196</v>
      </c>
      <c r="K9" s="25"/>
      <c r="L9" s="25">
        <v>6050</v>
      </c>
      <c r="M9" s="25" t="s">
        <v>305</v>
      </c>
      <c r="N9" s="25" t="s">
        <v>53</v>
      </c>
      <c r="O9" s="25"/>
      <c r="P9" s="25" t="s">
        <v>449</v>
      </c>
      <c r="Q9" s="25">
        <v>0</v>
      </c>
      <c r="R9" s="25"/>
      <c r="S9" s="25"/>
    </row>
    <row r="10" spans="1:27" x14ac:dyDescent="0.4">
      <c r="A10" s="24">
        <v>45883.517361111109</v>
      </c>
      <c r="B10" s="25" t="s">
        <v>304</v>
      </c>
      <c r="C10" s="25" t="s">
        <v>354</v>
      </c>
      <c r="D10" s="26" t="s">
        <v>417</v>
      </c>
      <c r="E10" s="25" t="s">
        <v>355</v>
      </c>
      <c r="F10" s="25">
        <v>1</v>
      </c>
      <c r="G10" s="25">
        <v>3300</v>
      </c>
      <c r="H10" s="25">
        <v>12000</v>
      </c>
      <c r="I10" s="25">
        <v>7179</v>
      </c>
      <c r="J10" s="25">
        <v>4128</v>
      </c>
      <c r="K10" s="25"/>
      <c r="L10" s="25">
        <v>0</v>
      </c>
      <c r="M10" s="25" t="s">
        <v>305</v>
      </c>
      <c r="N10" s="25" t="s">
        <v>53</v>
      </c>
      <c r="O10" s="25"/>
      <c r="P10" s="25" t="s">
        <v>450</v>
      </c>
      <c r="Q10" s="25">
        <v>0</v>
      </c>
      <c r="R10" s="25"/>
      <c r="S10" s="25"/>
    </row>
    <row r="11" spans="1:27" x14ac:dyDescent="0.4">
      <c r="A11" s="24">
        <v>45883.524305555555</v>
      </c>
      <c r="B11" s="25" t="s">
        <v>304</v>
      </c>
      <c r="C11" s="25" t="s">
        <v>356</v>
      </c>
      <c r="D11" s="26" t="s">
        <v>418</v>
      </c>
      <c r="E11" s="25" t="s">
        <v>357</v>
      </c>
      <c r="F11" s="25">
        <v>1</v>
      </c>
      <c r="G11" s="25">
        <v>880</v>
      </c>
      <c r="H11" s="25">
        <v>2190</v>
      </c>
      <c r="I11" s="25">
        <v>604</v>
      </c>
      <c r="J11" s="25">
        <v>1511</v>
      </c>
      <c r="K11" s="25"/>
      <c r="L11" s="25">
        <v>5500</v>
      </c>
      <c r="M11" s="25" t="s">
        <v>305</v>
      </c>
      <c r="N11" s="25" t="s">
        <v>53</v>
      </c>
      <c r="O11" s="25"/>
      <c r="P11" s="25" t="s">
        <v>451</v>
      </c>
      <c r="Q11" s="25">
        <v>0</v>
      </c>
      <c r="R11" s="25"/>
      <c r="S11" s="25"/>
    </row>
    <row r="12" spans="1:27" x14ac:dyDescent="0.4">
      <c r="A12" s="24">
        <v>45883.525000000001</v>
      </c>
      <c r="B12" s="25" t="s">
        <v>304</v>
      </c>
      <c r="C12" s="25" t="s">
        <v>358</v>
      </c>
      <c r="D12" s="26" t="s">
        <v>419</v>
      </c>
      <c r="E12" s="25" t="s">
        <v>359</v>
      </c>
      <c r="F12" s="25">
        <v>1</v>
      </c>
      <c r="G12" s="25">
        <v>330</v>
      </c>
      <c r="H12" s="25">
        <v>2450</v>
      </c>
      <c r="I12" s="25">
        <v>1385</v>
      </c>
      <c r="J12" s="25">
        <v>819</v>
      </c>
      <c r="K12" s="25"/>
      <c r="L12" s="25">
        <v>7378</v>
      </c>
      <c r="M12" s="25" t="s">
        <v>305</v>
      </c>
      <c r="N12" s="25" t="s">
        <v>53</v>
      </c>
      <c r="O12" s="25"/>
      <c r="P12" s="25" t="s">
        <v>452</v>
      </c>
      <c r="Q12" s="25">
        <v>0</v>
      </c>
      <c r="R12" s="25"/>
      <c r="S12" s="25"/>
    </row>
    <row r="13" spans="1:27" x14ac:dyDescent="0.4">
      <c r="A13" s="24">
        <v>45883.527083333334</v>
      </c>
      <c r="B13" s="25" t="s">
        <v>304</v>
      </c>
      <c r="C13" s="25" t="s">
        <v>360</v>
      </c>
      <c r="D13" s="26" t="s">
        <v>420</v>
      </c>
      <c r="E13" s="25" t="s">
        <v>361</v>
      </c>
      <c r="F13" s="25">
        <v>1</v>
      </c>
      <c r="G13" s="25">
        <v>880</v>
      </c>
      <c r="H13" s="25">
        <v>3300</v>
      </c>
      <c r="I13" s="25">
        <v>1433</v>
      </c>
      <c r="J13" s="25">
        <v>1690</v>
      </c>
      <c r="K13" s="25"/>
      <c r="L13" s="25">
        <v>7680</v>
      </c>
      <c r="M13" s="25" t="s">
        <v>305</v>
      </c>
      <c r="N13" s="25" t="s">
        <v>53</v>
      </c>
      <c r="O13" s="25"/>
      <c r="P13" s="25" t="s">
        <v>453</v>
      </c>
      <c r="Q13" s="25">
        <v>0</v>
      </c>
      <c r="R13" s="25"/>
      <c r="S13" s="25"/>
    </row>
    <row r="14" spans="1:27" x14ac:dyDescent="0.4">
      <c r="A14" s="24">
        <v>45883.540277777778</v>
      </c>
      <c r="B14" s="25" t="s">
        <v>306</v>
      </c>
      <c r="C14" s="25" t="s">
        <v>362</v>
      </c>
      <c r="D14" s="26" t="s">
        <v>421</v>
      </c>
      <c r="E14" s="25" t="s">
        <v>363</v>
      </c>
      <c r="F14" s="25">
        <v>1</v>
      </c>
      <c r="G14" s="25">
        <v>1650</v>
      </c>
      <c r="H14" s="25">
        <v>3980</v>
      </c>
      <c r="I14" s="25">
        <v>1159</v>
      </c>
      <c r="J14" s="25">
        <v>2592</v>
      </c>
      <c r="K14" s="25"/>
      <c r="L14" s="25">
        <v>0</v>
      </c>
      <c r="M14" s="25" t="s">
        <v>305</v>
      </c>
      <c r="N14" s="25" t="s">
        <v>51</v>
      </c>
      <c r="O14" s="25"/>
      <c r="P14" s="25" t="s">
        <v>454</v>
      </c>
      <c r="Q14" s="25">
        <v>0</v>
      </c>
      <c r="R14" s="25"/>
      <c r="S14" s="25"/>
    </row>
    <row r="15" spans="1:27" x14ac:dyDescent="0.4">
      <c r="A15" s="24">
        <v>45883.543749999997</v>
      </c>
      <c r="B15" s="25" t="s">
        <v>307</v>
      </c>
      <c r="C15" s="25" t="s">
        <v>364</v>
      </c>
      <c r="D15" s="26" t="s">
        <v>422</v>
      </c>
      <c r="E15" s="25" t="s">
        <v>365</v>
      </c>
      <c r="F15" s="25">
        <v>1</v>
      </c>
      <c r="G15" s="25">
        <v>1650</v>
      </c>
      <c r="H15" s="25">
        <v>4074</v>
      </c>
      <c r="I15" s="25">
        <v>1658</v>
      </c>
      <c r="J15" s="25">
        <v>2211</v>
      </c>
      <c r="K15" s="25"/>
      <c r="L15" s="25">
        <v>4880</v>
      </c>
      <c r="M15" s="25" t="s">
        <v>305</v>
      </c>
      <c r="N15" s="25" t="s">
        <v>51</v>
      </c>
      <c r="O15" s="25"/>
      <c r="P15" s="25" t="s">
        <v>455</v>
      </c>
      <c r="Q15" s="25">
        <v>0</v>
      </c>
      <c r="R15" s="25"/>
      <c r="S15" s="25"/>
    </row>
    <row r="16" spans="1:27" x14ac:dyDescent="0.4">
      <c r="A16" s="24">
        <v>45883.54583333333</v>
      </c>
      <c r="B16" s="25" t="s">
        <v>304</v>
      </c>
      <c r="C16" s="25" t="s">
        <v>366</v>
      </c>
      <c r="D16" s="26" t="s">
        <v>423</v>
      </c>
      <c r="E16" s="25" t="s">
        <v>367</v>
      </c>
      <c r="F16" s="25">
        <v>1</v>
      </c>
      <c r="G16" s="25">
        <v>638</v>
      </c>
      <c r="H16" s="25">
        <v>2000</v>
      </c>
      <c r="I16" s="25">
        <v>677</v>
      </c>
      <c r="J16" s="25">
        <v>1239</v>
      </c>
      <c r="K16" s="25"/>
      <c r="L16" s="25">
        <v>0</v>
      </c>
      <c r="M16" s="25" t="s">
        <v>305</v>
      </c>
      <c r="N16" s="25" t="s">
        <v>51</v>
      </c>
      <c r="O16" s="25"/>
      <c r="P16" s="25" t="s">
        <v>456</v>
      </c>
      <c r="Q16" s="25">
        <v>0</v>
      </c>
      <c r="R16" s="25"/>
      <c r="S16" s="25"/>
    </row>
    <row r="17" spans="1:19" x14ac:dyDescent="0.4">
      <c r="A17" s="24">
        <v>45883.548611111109</v>
      </c>
      <c r="B17" s="25" t="s">
        <v>306</v>
      </c>
      <c r="C17" s="25" t="s">
        <v>368</v>
      </c>
      <c r="D17" s="26" t="s">
        <v>424</v>
      </c>
      <c r="E17" s="25" t="s">
        <v>369</v>
      </c>
      <c r="F17" s="25">
        <v>2</v>
      </c>
      <c r="G17" s="25">
        <v>528</v>
      </c>
      <c r="H17" s="25">
        <v>1980</v>
      </c>
      <c r="I17" s="25">
        <v>779</v>
      </c>
      <c r="J17" s="25">
        <v>1104</v>
      </c>
      <c r="K17" s="25"/>
      <c r="L17" s="25">
        <v>0</v>
      </c>
      <c r="M17" s="25" t="s">
        <v>305</v>
      </c>
      <c r="N17" s="25" t="s">
        <v>51</v>
      </c>
      <c r="O17" s="25"/>
      <c r="P17" s="25" t="s">
        <v>457</v>
      </c>
      <c r="Q17" s="25">
        <v>0</v>
      </c>
      <c r="R17" s="25"/>
      <c r="S17" s="25"/>
    </row>
    <row r="18" spans="1:19" x14ac:dyDescent="0.4">
      <c r="A18" s="24">
        <v>45883.570833333331</v>
      </c>
      <c r="B18" s="25" t="s">
        <v>307</v>
      </c>
      <c r="C18" s="25" t="s">
        <v>370</v>
      </c>
      <c r="D18" s="26" t="s">
        <v>425</v>
      </c>
      <c r="E18" s="25" t="s">
        <v>371</v>
      </c>
      <c r="F18" s="25">
        <v>1</v>
      </c>
      <c r="G18" s="25">
        <v>220</v>
      </c>
      <c r="H18" s="25">
        <v>1300</v>
      </c>
      <c r="I18" s="25">
        <v>410</v>
      </c>
      <c r="J18" s="25">
        <v>642</v>
      </c>
      <c r="K18" s="25"/>
      <c r="L18" s="25">
        <v>880</v>
      </c>
      <c r="M18" s="25" t="s">
        <v>305</v>
      </c>
      <c r="N18" s="25" t="s">
        <v>49</v>
      </c>
      <c r="O18" s="25"/>
      <c r="P18" s="25" t="s">
        <v>458</v>
      </c>
      <c r="Q18" s="25">
        <v>0</v>
      </c>
      <c r="R18" s="25"/>
      <c r="S18" s="25"/>
    </row>
    <row r="19" spans="1:19" x14ac:dyDescent="0.4">
      <c r="A19" s="24">
        <v>45883.604166666664</v>
      </c>
      <c r="B19" s="25" t="s">
        <v>307</v>
      </c>
      <c r="C19" s="25" t="s">
        <v>372</v>
      </c>
      <c r="D19" s="26" t="s">
        <v>426</v>
      </c>
      <c r="E19" s="25" t="s">
        <v>373</v>
      </c>
      <c r="F19" s="25">
        <v>2</v>
      </c>
      <c r="G19" s="25">
        <v>220</v>
      </c>
      <c r="H19" s="25">
        <v>1300</v>
      </c>
      <c r="I19" s="25">
        <v>503</v>
      </c>
      <c r="J19" s="25">
        <v>621</v>
      </c>
      <c r="K19" s="25"/>
      <c r="L19" s="25">
        <v>0</v>
      </c>
      <c r="M19" s="25" t="s">
        <v>305</v>
      </c>
      <c r="N19" s="25" t="s">
        <v>47</v>
      </c>
      <c r="O19" s="25"/>
      <c r="P19" s="25" t="s">
        <v>459</v>
      </c>
      <c r="Q19" s="25">
        <v>0</v>
      </c>
      <c r="R19" s="25"/>
      <c r="S19" s="25"/>
    </row>
    <row r="20" spans="1:19" x14ac:dyDescent="0.4">
      <c r="A20" s="24">
        <v>45883.607638888891</v>
      </c>
      <c r="B20" s="25" t="s">
        <v>306</v>
      </c>
      <c r="C20" s="25" t="s">
        <v>374</v>
      </c>
      <c r="D20" s="26" t="s">
        <v>427</v>
      </c>
      <c r="E20" s="25" t="s">
        <v>375</v>
      </c>
      <c r="F20" s="25">
        <v>1</v>
      </c>
      <c r="G20" s="25">
        <v>550</v>
      </c>
      <c r="H20" s="25">
        <v>3850</v>
      </c>
      <c r="I20" s="25">
        <v>2558</v>
      </c>
      <c r="J20" s="25">
        <v>901</v>
      </c>
      <c r="K20" s="25"/>
      <c r="L20" s="25">
        <v>0</v>
      </c>
      <c r="M20" s="25" t="s">
        <v>305</v>
      </c>
      <c r="N20" s="25" t="s">
        <v>47</v>
      </c>
      <c r="O20" s="25"/>
      <c r="P20" s="25" t="s">
        <v>460</v>
      </c>
      <c r="Q20" s="25">
        <v>0</v>
      </c>
      <c r="R20" s="25"/>
      <c r="S20" s="25"/>
    </row>
    <row r="21" spans="1:19" x14ac:dyDescent="0.4">
      <c r="A21" s="27">
        <v>45883.620833333334</v>
      </c>
      <c r="B21" s="28" t="s">
        <v>304</v>
      </c>
      <c r="C21" s="28" t="s">
        <v>376</v>
      </c>
      <c r="D21" s="29" t="s">
        <v>428</v>
      </c>
      <c r="E21" s="28" t="s">
        <v>377</v>
      </c>
      <c r="F21" s="28">
        <v>1</v>
      </c>
      <c r="G21" s="28">
        <v>2530</v>
      </c>
      <c r="H21" s="28">
        <v>8800</v>
      </c>
      <c r="I21" s="28">
        <v>4627</v>
      </c>
      <c r="J21" s="28">
        <v>3601</v>
      </c>
      <c r="K21" s="28"/>
      <c r="L21" s="28">
        <v>8580</v>
      </c>
      <c r="M21" s="28" t="s">
        <v>305</v>
      </c>
      <c r="N21" s="28" t="s">
        <v>47</v>
      </c>
      <c r="O21" s="28" t="s">
        <v>308</v>
      </c>
      <c r="P21" s="28" t="s">
        <v>461</v>
      </c>
      <c r="Q21" s="28">
        <v>0</v>
      </c>
      <c r="R21" s="28"/>
      <c r="S21" s="28"/>
    </row>
    <row r="22" spans="1:19" x14ac:dyDescent="0.4">
      <c r="A22" s="27">
        <v>45883.621527777781</v>
      </c>
      <c r="B22" s="28" t="s">
        <v>304</v>
      </c>
      <c r="C22" s="28" t="s">
        <v>378</v>
      </c>
      <c r="D22" s="29" t="s">
        <v>429</v>
      </c>
      <c r="E22" s="28" t="s">
        <v>379</v>
      </c>
      <c r="F22" s="28">
        <v>1</v>
      </c>
      <c r="G22" s="28">
        <v>1430</v>
      </c>
      <c r="H22" s="28">
        <v>7824</v>
      </c>
      <c r="I22" s="28">
        <v>4858</v>
      </c>
      <c r="J22" s="28">
        <v>2365</v>
      </c>
      <c r="K22" s="28" t="s">
        <v>380</v>
      </c>
      <c r="L22" s="28">
        <v>10010</v>
      </c>
      <c r="M22" s="28" t="s">
        <v>305</v>
      </c>
      <c r="N22" s="28" t="s">
        <v>47</v>
      </c>
      <c r="O22" s="28" t="s">
        <v>308</v>
      </c>
      <c r="P22" s="28" t="s">
        <v>462</v>
      </c>
      <c r="Q22" s="28">
        <v>0</v>
      </c>
      <c r="R22" s="28"/>
      <c r="S22" s="28"/>
    </row>
    <row r="23" spans="1:19" x14ac:dyDescent="0.4">
      <c r="A23" s="24">
        <v>45883.640277777777</v>
      </c>
      <c r="B23" s="25" t="s">
        <v>304</v>
      </c>
      <c r="C23" s="25" t="s">
        <v>381</v>
      </c>
      <c r="D23" s="26" t="s">
        <v>430</v>
      </c>
      <c r="E23" s="25" t="s">
        <v>382</v>
      </c>
      <c r="F23" s="25">
        <v>1</v>
      </c>
      <c r="G23" s="25">
        <v>550</v>
      </c>
      <c r="H23" s="25">
        <v>3980</v>
      </c>
      <c r="I23" s="25">
        <v>2537</v>
      </c>
      <c r="J23" s="25">
        <v>1129</v>
      </c>
      <c r="K23" s="25" t="s">
        <v>383</v>
      </c>
      <c r="L23" s="25">
        <v>0</v>
      </c>
      <c r="M23" s="25" t="s">
        <v>305</v>
      </c>
      <c r="N23" s="25" t="s">
        <v>45</v>
      </c>
      <c r="O23" s="25"/>
      <c r="P23" s="25" t="s">
        <v>463</v>
      </c>
      <c r="Q23" s="25">
        <v>0</v>
      </c>
      <c r="R23" s="25"/>
      <c r="S23" s="25"/>
    </row>
    <row r="24" spans="1:19" x14ac:dyDescent="0.4">
      <c r="A24" s="24">
        <v>45883.644444444442</v>
      </c>
      <c r="B24" s="25" t="s">
        <v>304</v>
      </c>
      <c r="C24" s="25" t="s">
        <v>384</v>
      </c>
      <c r="D24" s="26" t="s">
        <v>431</v>
      </c>
      <c r="E24" s="25" t="s">
        <v>385</v>
      </c>
      <c r="F24" s="25">
        <v>1</v>
      </c>
      <c r="G24" s="25">
        <v>3300</v>
      </c>
      <c r="H24" s="25">
        <v>9800</v>
      </c>
      <c r="I24" s="25">
        <v>5173</v>
      </c>
      <c r="J24" s="25">
        <v>4128</v>
      </c>
      <c r="K24" s="25"/>
      <c r="L24" s="25">
        <v>0</v>
      </c>
      <c r="M24" s="25" t="s">
        <v>305</v>
      </c>
      <c r="N24" s="25" t="s">
        <v>45</v>
      </c>
      <c r="O24" s="25"/>
      <c r="P24" s="25" t="s">
        <v>464</v>
      </c>
      <c r="Q24" s="25">
        <v>0</v>
      </c>
      <c r="R24" s="25"/>
      <c r="S24" s="25"/>
    </row>
    <row r="25" spans="1:19" x14ac:dyDescent="0.4">
      <c r="A25" s="24">
        <v>45883.645138888889</v>
      </c>
      <c r="B25" s="25" t="s">
        <v>304</v>
      </c>
      <c r="C25" s="25" t="s">
        <v>386</v>
      </c>
      <c r="D25" s="26" t="s">
        <v>432</v>
      </c>
      <c r="E25" s="25" t="s">
        <v>387</v>
      </c>
      <c r="F25" s="25">
        <v>1</v>
      </c>
      <c r="G25" s="25">
        <v>550</v>
      </c>
      <c r="H25" s="25">
        <v>2200</v>
      </c>
      <c r="I25" s="25">
        <v>943</v>
      </c>
      <c r="J25" s="25">
        <v>1140</v>
      </c>
      <c r="K25" s="25"/>
      <c r="L25" s="25">
        <v>3850</v>
      </c>
      <c r="M25" s="25" t="s">
        <v>305</v>
      </c>
      <c r="N25" s="25" t="s">
        <v>45</v>
      </c>
      <c r="O25" s="25"/>
      <c r="P25" s="25" t="s">
        <v>465</v>
      </c>
      <c r="Q25" s="25">
        <v>0</v>
      </c>
      <c r="R25" s="25"/>
      <c r="S25" s="25"/>
    </row>
    <row r="26" spans="1:19" x14ac:dyDescent="0.4">
      <c r="A26" s="24">
        <v>45883.647916666669</v>
      </c>
      <c r="B26" s="25" t="s">
        <v>388</v>
      </c>
      <c r="C26" s="25" t="s">
        <v>389</v>
      </c>
      <c r="D26" s="26" t="s">
        <v>433</v>
      </c>
      <c r="E26" s="25" t="s">
        <v>390</v>
      </c>
      <c r="F26" s="25">
        <v>1</v>
      </c>
      <c r="G26" s="25">
        <v>1100</v>
      </c>
      <c r="H26" s="25">
        <v>5400</v>
      </c>
      <c r="I26" s="25">
        <v>3311</v>
      </c>
      <c r="J26" s="25">
        <v>1770</v>
      </c>
      <c r="K26" s="25"/>
      <c r="L26" s="25">
        <v>0</v>
      </c>
      <c r="M26" s="25" t="s">
        <v>305</v>
      </c>
      <c r="N26" s="25" t="s">
        <v>45</v>
      </c>
      <c r="O26" s="25"/>
      <c r="P26" s="25" t="s">
        <v>466</v>
      </c>
      <c r="Q26" s="25">
        <v>0</v>
      </c>
      <c r="R26" s="25"/>
      <c r="S26" s="25"/>
    </row>
    <row r="27" spans="1:19" x14ac:dyDescent="0.4">
      <c r="A27" s="24">
        <v>45883.65902777778</v>
      </c>
      <c r="B27" s="25" t="s">
        <v>304</v>
      </c>
      <c r="C27" s="25" t="s">
        <v>391</v>
      </c>
      <c r="D27" s="26" t="s">
        <v>434</v>
      </c>
      <c r="E27" s="25" t="s">
        <v>392</v>
      </c>
      <c r="F27" s="25">
        <v>1</v>
      </c>
      <c r="G27" s="25">
        <v>330</v>
      </c>
      <c r="H27" s="25">
        <v>8800</v>
      </c>
      <c r="I27" s="25">
        <v>7231</v>
      </c>
      <c r="J27" s="25">
        <v>799</v>
      </c>
      <c r="K27" s="25" t="s">
        <v>383</v>
      </c>
      <c r="L27" s="25">
        <v>10456</v>
      </c>
      <c r="M27" s="25" t="s">
        <v>305</v>
      </c>
      <c r="N27" s="25" t="s">
        <v>45</v>
      </c>
      <c r="O27" s="25"/>
      <c r="P27" s="25" t="s">
        <v>467</v>
      </c>
      <c r="Q27" s="25">
        <v>0</v>
      </c>
      <c r="R27" s="25"/>
      <c r="S27" s="25"/>
    </row>
    <row r="28" spans="1:19" x14ac:dyDescent="0.4">
      <c r="A28" s="24">
        <v>45883.665277777778</v>
      </c>
      <c r="B28" s="25" t="s">
        <v>306</v>
      </c>
      <c r="C28" s="25" t="s">
        <v>393</v>
      </c>
      <c r="D28" s="26" t="s">
        <v>435</v>
      </c>
      <c r="E28" s="25" t="s">
        <v>394</v>
      </c>
      <c r="F28" s="25">
        <v>1</v>
      </c>
      <c r="G28" s="25">
        <v>330</v>
      </c>
      <c r="H28" s="25">
        <v>1600</v>
      </c>
      <c r="I28" s="25">
        <v>541</v>
      </c>
      <c r="J28" s="25">
        <v>873</v>
      </c>
      <c r="K28" s="25"/>
      <c r="L28" s="25">
        <v>2130</v>
      </c>
      <c r="M28" s="25" t="s">
        <v>305</v>
      </c>
      <c r="N28" s="25" t="s">
        <v>45</v>
      </c>
      <c r="O28" s="25"/>
      <c r="P28" s="25" t="s">
        <v>468</v>
      </c>
      <c r="Q28" s="25">
        <v>0</v>
      </c>
      <c r="R28" s="25"/>
      <c r="S28" s="25"/>
    </row>
    <row r="29" spans="1:19" x14ac:dyDescent="0.4">
      <c r="A29" s="24">
        <v>45883.67083333333</v>
      </c>
      <c r="B29" s="25" t="s">
        <v>388</v>
      </c>
      <c r="C29" s="25" t="s">
        <v>395</v>
      </c>
      <c r="D29" s="26" t="s">
        <v>436</v>
      </c>
      <c r="E29" s="25" t="s">
        <v>396</v>
      </c>
      <c r="F29" s="25">
        <v>1</v>
      </c>
      <c r="G29" s="25">
        <v>330</v>
      </c>
      <c r="H29" s="25">
        <v>4000</v>
      </c>
      <c r="I29" s="25">
        <v>2716</v>
      </c>
      <c r="J29" s="25">
        <v>874</v>
      </c>
      <c r="K29" s="25" t="s">
        <v>383</v>
      </c>
      <c r="L29" s="25">
        <v>0</v>
      </c>
      <c r="M29" s="25" t="s">
        <v>305</v>
      </c>
      <c r="N29" s="25" t="s">
        <v>45</v>
      </c>
      <c r="O29" s="25"/>
      <c r="P29" s="25" t="s">
        <v>469</v>
      </c>
      <c r="Q29" s="25">
        <v>0</v>
      </c>
      <c r="R29" s="25"/>
      <c r="S29" s="25"/>
    </row>
    <row r="30" spans="1:19" x14ac:dyDescent="0.4">
      <c r="A30" s="27">
        <v>45883.684027777781</v>
      </c>
      <c r="B30" s="28" t="s">
        <v>304</v>
      </c>
      <c r="C30" s="28" t="s">
        <v>397</v>
      </c>
      <c r="D30" s="29" t="s">
        <v>437</v>
      </c>
      <c r="E30" s="28" t="s">
        <v>398</v>
      </c>
      <c r="F30" s="28">
        <v>1</v>
      </c>
      <c r="G30" s="28">
        <v>550</v>
      </c>
      <c r="H30" s="28">
        <v>2300</v>
      </c>
      <c r="I30" s="28">
        <v>1012</v>
      </c>
      <c r="J30" s="28">
        <v>1163</v>
      </c>
      <c r="K30" s="28" t="s">
        <v>399</v>
      </c>
      <c r="L30" s="28">
        <v>3080</v>
      </c>
      <c r="M30" s="28" t="s">
        <v>305</v>
      </c>
      <c r="N30" s="28" t="s">
        <v>334</v>
      </c>
      <c r="O30" s="28" t="s">
        <v>308</v>
      </c>
      <c r="P30" s="28" t="s">
        <v>470</v>
      </c>
      <c r="Q30" s="28">
        <v>0</v>
      </c>
      <c r="R30" s="28"/>
      <c r="S30" s="28"/>
    </row>
    <row r="31" spans="1:19" x14ac:dyDescent="0.4">
      <c r="A31" s="24">
        <v>45883.738888888889</v>
      </c>
      <c r="B31" s="25" t="s">
        <v>304</v>
      </c>
      <c r="C31" s="25" t="s">
        <v>400</v>
      </c>
      <c r="D31" s="26" t="s">
        <v>438</v>
      </c>
      <c r="E31" s="25" t="s">
        <v>401</v>
      </c>
      <c r="F31" s="25">
        <v>1</v>
      </c>
      <c r="G31" s="25">
        <v>550</v>
      </c>
      <c r="H31" s="25">
        <v>2178</v>
      </c>
      <c r="I31" s="25">
        <v>804</v>
      </c>
      <c r="J31" s="25">
        <v>1216</v>
      </c>
      <c r="K31" s="25"/>
      <c r="L31" s="25">
        <v>1760</v>
      </c>
      <c r="M31" s="25" t="s">
        <v>305</v>
      </c>
      <c r="N31" s="25" t="s">
        <v>43</v>
      </c>
      <c r="O31" s="25"/>
      <c r="P31" s="25" t="s">
        <v>471</v>
      </c>
      <c r="Q31" s="25">
        <v>0</v>
      </c>
      <c r="R31" s="25"/>
      <c r="S31" s="25"/>
    </row>
    <row r="32" spans="1:19" x14ac:dyDescent="0.4">
      <c r="A32" s="24">
        <v>45883.745833333334</v>
      </c>
      <c r="B32" s="25" t="s">
        <v>304</v>
      </c>
      <c r="C32" s="25" t="s">
        <v>402</v>
      </c>
      <c r="D32" s="26" t="s">
        <v>439</v>
      </c>
      <c r="E32" s="25" t="s">
        <v>403</v>
      </c>
      <c r="F32" s="25">
        <v>1</v>
      </c>
      <c r="G32" s="25">
        <v>880</v>
      </c>
      <c r="H32" s="25">
        <v>2980</v>
      </c>
      <c r="I32" s="25">
        <v>1123</v>
      </c>
      <c r="J32" s="25">
        <v>1635</v>
      </c>
      <c r="K32" s="25"/>
      <c r="L32" s="25">
        <v>4180</v>
      </c>
      <c r="M32" s="25" t="s">
        <v>305</v>
      </c>
      <c r="N32" s="25" t="s">
        <v>43</v>
      </c>
      <c r="O32" s="25"/>
      <c r="P32" s="25" t="s">
        <v>472</v>
      </c>
      <c r="Q32" s="25">
        <v>0</v>
      </c>
      <c r="R32" s="25"/>
      <c r="S32" s="25"/>
    </row>
    <row r="33" spans="1:19" x14ac:dyDescent="0.4">
      <c r="A33" s="24">
        <v>45883.750694444447</v>
      </c>
      <c r="B33" s="25" t="s">
        <v>304</v>
      </c>
      <c r="C33" s="25" t="s">
        <v>404</v>
      </c>
      <c r="D33" s="26" t="s">
        <v>440</v>
      </c>
      <c r="E33" s="25" t="s">
        <v>405</v>
      </c>
      <c r="F33" s="25">
        <v>1</v>
      </c>
      <c r="G33" s="25">
        <v>550</v>
      </c>
      <c r="H33" s="25">
        <v>3800</v>
      </c>
      <c r="I33" s="25">
        <v>2347</v>
      </c>
      <c r="J33" s="25">
        <v>1163</v>
      </c>
      <c r="K33" s="25"/>
      <c r="L33" s="25">
        <v>0</v>
      </c>
      <c r="M33" s="25" t="s">
        <v>305</v>
      </c>
      <c r="N33" s="25" t="s">
        <v>43</v>
      </c>
      <c r="O33" s="25"/>
      <c r="P33" s="25" t="s">
        <v>473</v>
      </c>
      <c r="Q33" s="25">
        <v>0</v>
      </c>
      <c r="R33" s="25"/>
      <c r="S33" s="25"/>
    </row>
    <row r="34" spans="1:19" x14ac:dyDescent="0.4">
      <c r="A34" s="24">
        <v>45883.752083333333</v>
      </c>
      <c r="B34" s="25" t="s">
        <v>304</v>
      </c>
      <c r="C34" s="25" t="s">
        <v>406</v>
      </c>
      <c r="D34" s="26" t="s">
        <v>441</v>
      </c>
      <c r="E34" s="25" t="s">
        <v>407</v>
      </c>
      <c r="F34" s="25">
        <v>1</v>
      </c>
      <c r="G34" s="25">
        <v>1650</v>
      </c>
      <c r="H34" s="25">
        <v>4199</v>
      </c>
      <c r="I34" s="25">
        <v>1306</v>
      </c>
      <c r="J34" s="25">
        <v>2731</v>
      </c>
      <c r="K34" s="25"/>
      <c r="L34" s="25">
        <v>8030</v>
      </c>
      <c r="M34" s="25" t="s">
        <v>305</v>
      </c>
      <c r="N34" s="25" t="s">
        <v>43</v>
      </c>
      <c r="O34" s="25"/>
      <c r="P34" s="25" t="s">
        <v>474</v>
      </c>
      <c r="Q34" s="25">
        <v>0</v>
      </c>
      <c r="R34" s="25"/>
      <c r="S34" s="2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B994-022F-417A-9044-9C16FCB72FBB}">
  <sheetPr codeName="Sheet3"/>
  <dimension ref="A1:J5"/>
  <sheetViews>
    <sheetView workbookViewId="0">
      <selection activeCell="B12" sqref="B12"/>
    </sheetView>
  </sheetViews>
  <sheetFormatPr defaultRowHeight="18.75" x14ac:dyDescent="0.4"/>
  <cols>
    <col min="1" max="1" width="21.5" customWidth="1"/>
    <col min="2" max="2" width="55.5" customWidth="1"/>
    <col min="3" max="3" width="14.75" bestFit="1" customWidth="1"/>
    <col min="4" max="4" width="14.625" bestFit="1" customWidth="1"/>
    <col min="5" max="5" width="22.75" bestFit="1" customWidth="1"/>
    <col min="6" max="6" width="15" bestFit="1" customWidth="1"/>
    <col min="7" max="7" width="25.25" bestFit="1" customWidth="1"/>
    <col min="8" max="8" width="16.75" bestFit="1" customWidth="1"/>
    <col min="10" max="10" width="5.25" bestFit="1" customWidth="1"/>
  </cols>
  <sheetData>
    <row r="1" spans="1:10" x14ac:dyDescent="0.4">
      <c r="A1" t="s">
        <v>15</v>
      </c>
      <c r="B1" t="s">
        <v>4</v>
      </c>
      <c r="C1" t="s">
        <v>2</v>
      </c>
      <c r="D1" t="s">
        <v>475</v>
      </c>
      <c r="E1" t="s">
        <v>476</v>
      </c>
      <c r="F1" t="s">
        <v>1</v>
      </c>
      <c r="G1" t="s">
        <v>477</v>
      </c>
      <c r="H1" t="s">
        <v>478</v>
      </c>
      <c r="I1" t="s">
        <v>479</v>
      </c>
      <c r="J1" t="s">
        <v>480</v>
      </c>
    </row>
    <row r="2" spans="1:10" x14ac:dyDescent="0.4">
      <c r="A2" t="s">
        <v>462</v>
      </c>
      <c r="B2" t="s">
        <v>379</v>
      </c>
      <c r="C2" t="s">
        <v>378</v>
      </c>
      <c r="D2" t="s">
        <v>488</v>
      </c>
      <c r="E2" t="s">
        <v>489</v>
      </c>
      <c r="F2" t="s">
        <v>481</v>
      </c>
      <c r="G2" t="s">
        <v>482</v>
      </c>
      <c r="H2" t="s">
        <v>482</v>
      </c>
      <c r="I2" t="s">
        <v>483</v>
      </c>
      <c r="J2">
        <v>1</v>
      </c>
    </row>
    <row r="3" spans="1:10" x14ac:dyDescent="0.4">
      <c r="A3" t="s">
        <v>447</v>
      </c>
      <c r="B3" t="s">
        <v>349</v>
      </c>
      <c r="C3" t="s">
        <v>348</v>
      </c>
      <c r="D3" t="s">
        <v>490</v>
      </c>
      <c r="E3" t="s">
        <v>491</v>
      </c>
      <c r="F3" t="s">
        <v>481</v>
      </c>
      <c r="G3" t="s">
        <v>482</v>
      </c>
      <c r="H3" t="s">
        <v>482</v>
      </c>
      <c r="I3" t="s">
        <v>483</v>
      </c>
      <c r="J3">
        <v>1</v>
      </c>
    </row>
    <row r="4" spans="1:10" x14ac:dyDescent="0.4">
      <c r="A4" t="s">
        <v>474</v>
      </c>
      <c r="B4" t="s">
        <v>407</v>
      </c>
      <c r="C4" t="s">
        <v>406</v>
      </c>
      <c r="D4" t="s">
        <v>492</v>
      </c>
      <c r="E4" t="s">
        <v>493</v>
      </c>
      <c r="F4" t="s">
        <v>481</v>
      </c>
      <c r="G4" t="s">
        <v>482</v>
      </c>
      <c r="H4" t="s">
        <v>482</v>
      </c>
      <c r="I4" t="s">
        <v>483</v>
      </c>
      <c r="J4">
        <v>1</v>
      </c>
    </row>
    <row r="5" spans="1:10" x14ac:dyDescent="0.4">
      <c r="A5" t="s">
        <v>453</v>
      </c>
      <c r="B5" t="s">
        <v>361</v>
      </c>
      <c r="C5" t="s">
        <v>360</v>
      </c>
      <c r="D5" t="s">
        <v>494</v>
      </c>
      <c r="E5" t="s">
        <v>495</v>
      </c>
      <c r="F5" t="s">
        <v>481</v>
      </c>
      <c r="G5" t="s">
        <v>482</v>
      </c>
      <c r="H5" t="s">
        <v>482</v>
      </c>
      <c r="I5" t="s">
        <v>483</v>
      </c>
      <c r="J5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DB492-F4DB-473A-8294-93637A660887}">
  <sheetPr codeName="Sheet4">
    <pageSetUpPr fitToPage="1"/>
  </sheetPr>
  <dimension ref="A1"/>
  <sheetViews>
    <sheetView workbookViewId="0">
      <selection sqref="A1:F4"/>
    </sheetView>
  </sheetViews>
  <sheetFormatPr defaultRowHeight="18.75" x14ac:dyDescent="0.4"/>
  <cols>
    <col min="1" max="1" width="16.75" bestFit="1" customWidth="1"/>
    <col min="2" max="2" width="15" bestFit="1" customWidth="1"/>
    <col min="3" max="3" width="130.625" customWidth="1"/>
    <col min="4" max="4" width="11" bestFit="1" customWidth="1"/>
    <col min="5" max="5" width="9" bestFit="1" customWidth="1"/>
    <col min="6" max="6" width="17.25" bestFit="1" customWidth="1"/>
  </cols>
  <sheetData/>
  <phoneticPr fontId="1"/>
  <pageMargins left="0.7" right="0.7" top="0.75" bottom="0.75" header="0.3" footer="0.3"/>
  <pageSetup paperSize="9" scale="58" fitToWidth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CD41E-2FF6-4AE2-A41B-F39AF4C8FF7D}">
  <sheetPr codeName="Sheet5"/>
  <dimension ref="A1:N30"/>
  <sheetViews>
    <sheetView topLeftCell="D34" workbookViewId="0">
      <selection activeCell="M12" sqref="M12"/>
    </sheetView>
  </sheetViews>
  <sheetFormatPr defaultRowHeight="18.75" x14ac:dyDescent="0.4"/>
  <cols>
    <col min="1" max="1" width="33.25" customWidth="1"/>
    <col min="2" max="2" width="14.875" bestFit="1" customWidth="1"/>
    <col min="4" max="4" width="71" customWidth="1"/>
  </cols>
  <sheetData>
    <row r="1" spans="1:14" x14ac:dyDescent="0.4">
      <c r="A1" t="s">
        <v>17</v>
      </c>
    </row>
    <row r="2" spans="1:14" x14ac:dyDescent="0.4">
      <c r="A2" t="s">
        <v>15</v>
      </c>
      <c r="B2" t="s">
        <v>2</v>
      </c>
      <c r="C2" t="s">
        <v>3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309</v>
      </c>
      <c r="L2" t="s">
        <v>25</v>
      </c>
      <c r="M2" t="s">
        <v>26</v>
      </c>
      <c r="N2" t="s">
        <v>27</v>
      </c>
    </row>
    <row r="3" spans="1:14" x14ac:dyDescent="0.4">
      <c r="A3" t="s">
        <v>442</v>
      </c>
      <c r="B3" t="s">
        <v>338</v>
      </c>
      <c r="D3" t="s">
        <v>339</v>
      </c>
      <c r="E3">
        <v>1</v>
      </c>
      <c r="F3">
        <v>1780</v>
      </c>
      <c r="G3">
        <v>550</v>
      </c>
      <c r="H3">
        <v>471</v>
      </c>
      <c r="J3">
        <v>11</v>
      </c>
    </row>
    <row r="4" spans="1:14" x14ac:dyDescent="0.4">
      <c r="A4" t="s">
        <v>443</v>
      </c>
      <c r="B4" t="s">
        <v>340</v>
      </c>
      <c r="D4" t="s">
        <v>341</v>
      </c>
      <c r="E4">
        <v>1</v>
      </c>
      <c r="F4">
        <v>1477</v>
      </c>
      <c r="G4">
        <v>550</v>
      </c>
      <c r="H4">
        <v>477</v>
      </c>
      <c r="J4">
        <v>11</v>
      </c>
    </row>
    <row r="5" spans="1:14" x14ac:dyDescent="0.4">
      <c r="A5" t="s">
        <v>444</v>
      </c>
      <c r="B5" t="s">
        <v>342</v>
      </c>
      <c r="D5" t="s">
        <v>343</v>
      </c>
      <c r="E5">
        <v>1</v>
      </c>
      <c r="F5">
        <v>2980</v>
      </c>
      <c r="G5">
        <v>880</v>
      </c>
      <c r="H5">
        <v>1094</v>
      </c>
      <c r="J5">
        <v>2</v>
      </c>
    </row>
    <row r="6" spans="1:14" x14ac:dyDescent="0.4">
      <c r="A6" t="s">
        <v>445</v>
      </c>
      <c r="B6" t="s">
        <v>344</v>
      </c>
      <c r="D6" t="s">
        <v>345</v>
      </c>
      <c r="E6">
        <v>1</v>
      </c>
      <c r="F6">
        <v>2500</v>
      </c>
      <c r="G6">
        <v>550</v>
      </c>
      <c r="H6">
        <v>1210</v>
      </c>
      <c r="J6">
        <v>2</v>
      </c>
    </row>
    <row r="7" spans="1:14" x14ac:dyDescent="0.4">
      <c r="A7" t="s">
        <v>446</v>
      </c>
      <c r="B7" t="s">
        <v>346</v>
      </c>
      <c r="D7" t="s">
        <v>347</v>
      </c>
      <c r="E7">
        <v>1</v>
      </c>
      <c r="F7">
        <v>4500</v>
      </c>
      <c r="G7">
        <v>1320</v>
      </c>
      <c r="H7">
        <v>2200</v>
      </c>
      <c r="J7">
        <v>2</v>
      </c>
    </row>
    <row r="8" spans="1:14" x14ac:dyDescent="0.4">
      <c r="A8" t="s">
        <v>447</v>
      </c>
      <c r="B8" t="s">
        <v>348</v>
      </c>
      <c r="D8" t="s">
        <v>349</v>
      </c>
      <c r="E8">
        <v>1</v>
      </c>
      <c r="F8">
        <v>4801</v>
      </c>
      <c r="G8">
        <v>1320</v>
      </c>
      <c r="H8">
        <v>2278</v>
      </c>
      <c r="J8">
        <v>2</v>
      </c>
    </row>
    <row r="9" spans="1:14" x14ac:dyDescent="0.4">
      <c r="A9" t="s">
        <v>448</v>
      </c>
      <c r="B9" t="s">
        <v>350</v>
      </c>
      <c r="D9" t="s">
        <v>351</v>
      </c>
      <c r="E9">
        <v>1</v>
      </c>
      <c r="F9">
        <v>2600</v>
      </c>
      <c r="G9">
        <v>580</v>
      </c>
      <c r="H9">
        <v>1473</v>
      </c>
      <c r="J9">
        <v>2</v>
      </c>
    </row>
    <row r="10" spans="1:14" x14ac:dyDescent="0.4">
      <c r="A10" t="s">
        <v>449</v>
      </c>
      <c r="B10" t="s">
        <v>352</v>
      </c>
      <c r="D10" t="s">
        <v>353</v>
      </c>
      <c r="E10">
        <v>1</v>
      </c>
      <c r="F10">
        <v>2800</v>
      </c>
      <c r="G10">
        <v>550</v>
      </c>
      <c r="H10">
        <v>1428</v>
      </c>
      <c r="J10">
        <v>2</v>
      </c>
    </row>
    <row r="11" spans="1:14" x14ac:dyDescent="0.4">
      <c r="A11" t="s">
        <v>450</v>
      </c>
      <c r="B11" t="s">
        <v>354</v>
      </c>
      <c r="D11" t="s">
        <v>355</v>
      </c>
      <c r="E11">
        <v>1</v>
      </c>
      <c r="F11">
        <v>12000</v>
      </c>
      <c r="G11">
        <v>3300</v>
      </c>
      <c r="H11">
        <v>7179</v>
      </c>
      <c r="J11">
        <v>2</v>
      </c>
    </row>
    <row r="12" spans="1:14" x14ac:dyDescent="0.4">
      <c r="A12" t="s">
        <v>451</v>
      </c>
      <c r="B12" t="s">
        <v>356</v>
      </c>
      <c r="D12" t="s">
        <v>357</v>
      </c>
      <c r="E12">
        <v>1</v>
      </c>
      <c r="F12">
        <v>2190</v>
      </c>
      <c r="G12">
        <v>880</v>
      </c>
      <c r="H12">
        <v>604</v>
      </c>
      <c r="J12">
        <v>2</v>
      </c>
    </row>
    <row r="13" spans="1:14" x14ac:dyDescent="0.4">
      <c r="A13" t="s">
        <v>452</v>
      </c>
      <c r="B13" t="s">
        <v>358</v>
      </c>
      <c r="D13" t="s">
        <v>359</v>
      </c>
      <c r="E13">
        <v>1</v>
      </c>
      <c r="F13">
        <v>2450</v>
      </c>
      <c r="G13">
        <v>330</v>
      </c>
      <c r="H13">
        <v>1385</v>
      </c>
      <c r="J13">
        <v>2</v>
      </c>
    </row>
    <row r="14" spans="1:14" x14ac:dyDescent="0.4">
      <c r="A14" t="s">
        <v>453</v>
      </c>
      <c r="B14" t="s">
        <v>360</v>
      </c>
      <c r="D14" t="s">
        <v>361</v>
      </c>
      <c r="E14">
        <v>1</v>
      </c>
      <c r="F14">
        <v>3300</v>
      </c>
      <c r="G14">
        <v>880</v>
      </c>
      <c r="H14">
        <v>1433</v>
      </c>
      <c r="J14">
        <v>2</v>
      </c>
    </row>
    <row r="15" spans="1:14" x14ac:dyDescent="0.4">
      <c r="A15" t="s">
        <v>454</v>
      </c>
      <c r="B15" t="s">
        <v>362</v>
      </c>
      <c r="D15" t="s">
        <v>363</v>
      </c>
      <c r="E15">
        <v>1</v>
      </c>
      <c r="F15">
        <v>3980</v>
      </c>
      <c r="G15">
        <v>1650</v>
      </c>
      <c r="H15">
        <v>1159</v>
      </c>
      <c r="J15">
        <v>1</v>
      </c>
    </row>
    <row r="16" spans="1:14" x14ac:dyDescent="0.4">
      <c r="A16" t="s">
        <v>455</v>
      </c>
      <c r="B16" t="s">
        <v>364</v>
      </c>
      <c r="D16" t="s">
        <v>365</v>
      </c>
      <c r="E16">
        <v>1</v>
      </c>
      <c r="F16">
        <v>4074</v>
      </c>
      <c r="G16">
        <v>1650</v>
      </c>
      <c r="H16">
        <v>1658</v>
      </c>
      <c r="J16">
        <v>11</v>
      </c>
    </row>
    <row r="17" spans="1:10" x14ac:dyDescent="0.4">
      <c r="A17" t="s">
        <v>456</v>
      </c>
      <c r="B17" t="s">
        <v>366</v>
      </c>
      <c r="D17" t="s">
        <v>367</v>
      </c>
      <c r="E17">
        <v>1</v>
      </c>
      <c r="F17">
        <v>2000</v>
      </c>
      <c r="G17">
        <v>638</v>
      </c>
      <c r="H17">
        <v>677</v>
      </c>
      <c r="J17">
        <v>2</v>
      </c>
    </row>
    <row r="18" spans="1:10" x14ac:dyDescent="0.4">
      <c r="A18" t="s">
        <v>457</v>
      </c>
      <c r="B18" t="s">
        <v>368</v>
      </c>
      <c r="D18" t="s">
        <v>369</v>
      </c>
      <c r="E18">
        <v>2</v>
      </c>
      <c r="F18">
        <v>1980</v>
      </c>
      <c r="G18">
        <v>528</v>
      </c>
      <c r="H18">
        <v>779</v>
      </c>
      <c r="J18">
        <v>1</v>
      </c>
    </row>
    <row r="19" spans="1:10" x14ac:dyDescent="0.4">
      <c r="A19" t="s">
        <v>458</v>
      </c>
      <c r="B19" t="s">
        <v>370</v>
      </c>
      <c r="D19" t="s">
        <v>371</v>
      </c>
      <c r="E19">
        <v>1</v>
      </c>
      <c r="F19">
        <v>1300</v>
      </c>
      <c r="G19">
        <v>220</v>
      </c>
      <c r="H19">
        <v>410</v>
      </c>
      <c r="J19">
        <v>11</v>
      </c>
    </row>
    <row r="20" spans="1:10" x14ac:dyDescent="0.4">
      <c r="A20" t="s">
        <v>459</v>
      </c>
      <c r="B20" t="s">
        <v>372</v>
      </c>
      <c r="D20" t="s">
        <v>373</v>
      </c>
      <c r="E20">
        <v>2</v>
      </c>
      <c r="F20">
        <v>1300</v>
      </c>
      <c r="G20">
        <v>220</v>
      </c>
      <c r="H20">
        <v>503</v>
      </c>
      <c r="J20">
        <v>11</v>
      </c>
    </row>
    <row r="21" spans="1:10" x14ac:dyDescent="0.4">
      <c r="A21" t="s">
        <v>460</v>
      </c>
      <c r="B21" t="s">
        <v>374</v>
      </c>
      <c r="D21" t="s">
        <v>375</v>
      </c>
      <c r="E21">
        <v>1</v>
      </c>
      <c r="F21">
        <v>3850</v>
      </c>
      <c r="G21">
        <v>550</v>
      </c>
      <c r="H21">
        <v>2558</v>
      </c>
      <c r="J21">
        <v>1</v>
      </c>
    </row>
    <row r="22" spans="1:10" x14ac:dyDescent="0.4">
      <c r="A22" t="s">
        <v>461</v>
      </c>
      <c r="B22" t="s">
        <v>376</v>
      </c>
      <c r="D22" t="s">
        <v>377</v>
      </c>
      <c r="E22">
        <v>1</v>
      </c>
      <c r="F22">
        <v>8800</v>
      </c>
      <c r="G22">
        <v>2530</v>
      </c>
      <c r="H22">
        <v>4627</v>
      </c>
      <c r="J22">
        <v>2</v>
      </c>
    </row>
    <row r="23" spans="1:10" x14ac:dyDescent="0.4">
      <c r="A23" t="s">
        <v>464</v>
      </c>
      <c r="B23" t="s">
        <v>384</v>
      </c>
      <c r="D23" t="s">
        <v>385</v>
      </c>
      <c r="E23">
        <v>1</v>
      </c>
      <c r="F23">
        <v>9800</v>
      </c>
      <c r="G23">
        <v>3300</v>
      </c>
      <c r="H23">
        <v>5173</v>
      </c>
      <c r="J23">
        <v>2</v>
      </c>
    </row>
    <row r="24" spans="1:10" x14ac:dyDescent="0.4">
      <c r="A24" t="s">
        <v>465</v>
      </c>
      <c r="B24" t="s">
        <v>386</v>
      </c>
      <c r="D24" t="s">
        <v>387</v>
      </c>
      <c r="E24">
        <v>1</v>
      </c>
      <c r="F24">
        <v>2200</v>
      </c>
      <c r="G24">
        <v>550</v>
      </c>
      <c r="H24">
        <v>943</v>
      </c>
      <c r="J24">
        <v>2</v>
      </c>
    </row>
    <row r="25" spans="1:10" x14ac:dyDescent="0.4">
      <c r="A25" t="s">
        <v>466</v>
      </c>
      <c r="B25" t="s">
        <v>389</v>
      </c>
      <c r="D25" t="s">
        <v>390</v>
      </c>
      <c r="E25">
        <v>1</v>
      </c>
      <c r="F25">
        <v>5400</v>
      </c>
      <c r="G25">
        <v>1100</v>
      </c>
      <c r="H25">
        <v>3311</v>
      </c>
      <c r="J25">
        <v>3</v>
      </c>
    </row>
    <row r="26" spans="1:10" x14ac:dyDescent="0.4">
      <c r="A26" t="s">
        <v>468</v>
      </c>
      <c r="B26" t="s">
        <v>393</v>
      </c>
      <c r="D26" t="s">
        <v>394</v>
      </c>
      <c r="E26">
        <v>1</v>
      </c>
      <c r="F26">
        <v>1600</v>
      </c>
      <c r="G26">
        <v>330</v>
      </c>
      <c r="H26">
        <v>541</v>
      </c>
      <c r="J26">
        <v>1</v>
      </c>
    </row>
    <row r="27" spans="1:10" x14ac:dyDescent="0.4">
      <c r="A27" t="s">
        <v>471</v>
      </c>
      <c r="B27" t="s">
        <v>400</v>
      </c>
      <c r="D27" t="s">
        <v>401</v>
      </c>
      <c r="E27">
        <v>1</v>
      </c>
      <c r="F27">
        <v>2178</v>
      </c>
      <c r="G27">
        <v>550</v>
      </c>
      <c r="H27">
        <v>804</v>
      </c>
      <c r="J27">
        <v>2</v>
      </c>
    </row>
    <row r="28" spans="1:10" x14ac:dyDescent="0.4">
      <c r="A28" t="s">
        <v>472</v>
      </c>
      <c r="B28" t="s">
        <v>402</v>
      </c>
      <c r="D28" t="s">
        <v>403</v>
      </c>
      <c r="E28">
        <v>1</v>
      </c>
      <c r="F28">
        <v>2980</v>
      </c>
      <c r="G28">
        <v>880</v>
      </c>
      <c r="H28">
        <v>1123</v>
      </c>
      <c r="J28">
        <v>2</v>
      </c>
    </row>
    <row r="29" spans="1:10" x14ac:dyDescent="0.4">
      <c r="A29" t="s">
        <v>473</v>
      </c>
      <c r="B29" t="s">
        <v>404</v>
      </c>
      <c r="D29" t="s">
        <v>405</v>
      </c>
      <c r="E29">
        <v>1</v>
      </c>
      <c r="F29">
        <v>3800</v>
      </c>
      <c r="G29">
        <v>550</v>
      </c>
      <c r="H29">
        <v>2347</v>
      </c>
      <c r="J29">
        <v>2</v>
      </c>
    </row>
    <row r="30" spans="1:10" x14ac:dyDescent="0.4">
      <c r="A30" t="s">
        <v>474</v>
      </c>
      <c r="B30" t="s">
        <v>406</v>
      </c>
      <c r="D30" t="s">
        <v>407</v>
      </c>
      <c r="E30">
        <v>1</v>
      </c>
      <c r="F30">
        <v>4199</v>
      </c>
      <c r="G30">
        <v>1650</v>
      </c>
      <c r="H30">
        <v>1306</v>
      </c>
      <c r="J30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2CF16-0E56-494D-A47F-E7ABCC265BA0}">
  <sheetPr codeName="Sheet6"/>
  <dimension ref="A1:AA6"/>
  <sheetViews>
    <sheetView topLeftCell="B1" workbookViewId="0">
      <selection activeCell="P6" sqref="P6"/>
    </sheetView>
  </sheetViews>
  <sheetFormatPr defaultRowHeight="18.75" x14ac:dyDescent="0.4"/>
  <cols>
    <col min="1" max="1" width="15.875" bestFit="1" customWidth="1"/>
    <col min="2" max="2" width="16.75" bestFit="1" customWidth="1"/>
    <col min="3" max="3" width="14.25" bestFit="1" customWidth="1"/>
    <col min="4" max="4" width="15" bestFit="1" customWidth="1"/>
    <col min="5" max="5" width="70" customWidth="1"/>
    <col min="11" max="11" width="23.375" customWidth="1"/>
    <col min="16" max="16" width="24.125" customWidth="1"/>
  </cols>
  <sheetData>
    <row r="1" spans="1:27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/>
      <c r="S1" s="1"/>
      <c r="AA1" s="2"/>
    </row>
    <row r="2" spans="1:27" x14ac:dyDescent="0.4">
      <c r="A2" s="27">
        <v>45883.621527777781</v>
      </c>
      <c r="B2" s="28" t="s">
        <v>304</v>
      </c>
      <c r="C2" s="28" t="s">
        <v>378</v>
      </c>
      <c r="D2" s="29" t="s">
        <v>429</v>
      </c>
      <c r="E2" s="28" t="s">
        <v>379</v>
      </c>
      <c r="F2" s="28">
        <v>1</v>
      </c>
      <c r="G2" s="28">
        <v>1430</v>
      </c>
      <c r="H2" s="28">
        <v>7824</v>
      </c>
      <c r="I2" s="28">
        <v>4858</v>
      </c>
      <c r="J2" s="28">
        <v>2365</v>
      </c>
      <c r="K2" s="28" t="s">
        <v>380</v>
      </c>
      <c r="L2" s="28">
        <v>10010</v>
      </c>
      <c r="M2" s="28" t="s">
        <v>305</v>
      </c>
      <c r="N2" s="28" t="s">
        <v>47</v>
      </c>
      <c r="O2" s="28" t="s">
        <v>308</v>
      </c>
      <c r="P2" s="28" t="s">
        <v>462</v>
      </c>
      <c r="Q2" s="28">
        <v>0</v>
      </c>
      <c r="R2" s="28"/>
      <c r="S2" s="28"/>
    </row>
    <row r="3" spans="1:27" x14ac:dyDescent="0.4">
      <c r="A3" s="24">
        <v>45883.640277777777</v>
      </c>
      <c r="B3" s="25" t="s">
        <v>304</v>
      </c>
      <c r="C3" s="25" t="s">
        <v>381</v>
      </c>
      <c r="D3" s="26" t="s">
        <v>430</v>
      </c>
      <c r="E3" s="25" t="s">
        <v>382</v>
      </c>
      <c r="F3" s="25">
        <v>1</v>
      </c>
      <c r="G3" s="25">
        <v>550</v>
      </c>
      <c r="H3" s="25">
        <v>3980</v>
      </c>
      <c r="I3" s="25">
        <v>2537</v>
      </c>
      <c r="J3" s="25">
        <v>1129</v>
      </c>
      <c r="K3" s="25" t="s">
        <v>383</v>
      </c>
      <c r="L3" s="25">
        <v>0</v>
      </c>
      <c r="M3" s="25" t="s">
        <v>305</v>
      </c>
      <c r="N3" s="25" t="s">
        <v>45</v>
      </c>
      <c r="O3" s="25"/>
      <c r="P3" s="25" t="s">
        <v>463</v>
      </c>
      <c r="Q3" s="25">
        <v>0</v>
      </c>
      <c r="R3" s="25"/>
      <c r="S3" s="25"/>
    </row>
    <row r="4" spans="1:27" x14ac:dyDescent="0.4">
      <c r="A4" s="24">
        <v>45883.65902777778</v>
      </c>
      <c r="B4" s="25" t="s">
        <v>304</v>
      </c>
      <c r="C4" s="25" t="s">
        <v>391</v>
      </c>
      <c r="D4" s="26" t="s">
        <v>434</v>
      </c>
      <c r="E4" s="25" t="s">
        <v>392</v>
      </c>
      <c r="F4" s="25">
        <v>1</v>
      </c>
      <c r="G4" s="25">
        <v>330</v>
      </c>
      <c r="H4" s="25">
        <v>8800</v>
      </c>
      <c r="I4" s="25">
        <v>7231</v>
      </c>
      <c r="J4" s="25">
        <v>799</v>
      </c>
      <c r="K4" s="25" t="s">
        <v>383</v>
      </c>
      <c r="L4" s="25">
        <v>10456</v>
      </c>
      <c r="M4" s="25" t="s">
        <v>305</v>
      </c>
      <c r="N4" s="25" t="s">
        <v>45</v>
      </c>
      <c r="O4" s="25"/>
      <c r="P4" s="25" t="s">
        <v>467</v>
      </c>
      <c r="Q4" s="25">
        <v>0</v>
      </c>
      <c r="R4" s="25"/>
      <c r="S4" s="25"/>
    </row>
    <row r="5" spans="1:27" x14ac:dyDescent="0.4">
      <c r="A5" s="24">
        <v>45883.67083333333</v>
      </c>
      <c r="B5" s="25" t="s">
        <v>388</v>
      </c>
      <c r="C5" s="25" t="s">
        <v>395</v>
      </c>
      <c r="D5" s="26" t="s">
        <v>436</v>
      </c>
      <c r="E5" s="25" t="s">
        <v>396</v>
      </c>
      <c r="F5" s="25">
        <v>1</v>
      </c>
      <c r="G5" s="25">
        <v>330</v>
      </c>
      <c r="H5" s="25">
        <v>4000</v>
      </c>
      <c r="I5" s="25">
        <v>2716</v>
      </c>
      <c r="J5" s="25">
        <v>874</v>
      </c>
      <c r="K5" s="25" t="s">
        <v>383</v>
      </c>
      <c r="L5" s="25">
        <v>0</v>
      </c>
      <c r="M5" s="25" t="s">
        <v>305</v>
      </c>
      <c r="N5" s="25" t="s">
        <v>45</v>
      </c>
      <c r="O5" s="25"/>
      <c r="P5" s="25" t="s">
        <v>469</v>
      </c>
      <c r="Q5" s="25">
        <v>0</v>
      </c>
      <c r="R5" s="25"/>
      <c r="S5" s="25"/>
    </row>
    <row r="6" spans="1:27" x14ac:dyDescent="0.4">
      <c r="A6" s="27">
        <v>45883.684027777781</v>
      </c>
      <c r="B6" s="28" t="s">
        <v>304</v>
      </c>
      <c r="C6" s="28" t="s">
        <v>397</v>
      </c>
      <c r="D6" s="29" t="s">
        <v>437</v>
      </c>
      <c r="E6" s="28" t="s">
        <v>398</v>
      </c>
      <c r="F6" s="28">
        <v>1</v>
      </c>
      <c r="G6" s="28">
        <v>550</v>
      </c>
      <c r="H6" s="28">
        <v>2300</v>
      </c>
      <c r="I6" s="28">
        <v>1012</v>
      </c>
      <c r="J6" s="28">
        <v>1163</v>
      </c>
      <c r="K6" s="28" t="s">
        <v>399</v>
      </c>
      <c r="L6" s="28">
        <v>3080</v>
      </c>
      <c r="M6" s="28" t="s">
        <v>305</v>
      </c>
      <c r="N6" s="28" t="s">
        <v>334</v>
      </c>
      <c r="O6" s="28" t="s">
        <v>308</v>
      </c>
      <c r="P6" s="28" t="s">
        <v>470</v>
      </c>
      <c r="Q6" s="28">
        <v>0</v>
      </c>
      <c r="R6" s="28"/>
      <c r="S6" s="28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60E46-A5D8-4E50-9843-1D481C1C57BB}">
  <sheetPr codeName="Sheet7">
    <pageSetUpPr fitToPage="1"/>
  </sheetPr>
  <dimension ref="A1:F36"/>
  <sheetViews>
    <sheetView workbookViewId="0">
      <selection activeCell="A2" sqref="A2:F6"/>
    </sheetView>
  </sheetViews>
  <sheetFormatPr defaultRowHeight="18.75" x14ac:dyDescent="0.4"/>
  <cols>
    <col min="1" max="1" width="13.375" bestFit="1" customWidth="1"/>
    <col min="2" max="2" width="16.75" bestFit="1" customWidth="1"/>
    <col min="3" max="3" width="133.625" customWidth="1"/>
    <col min="4" max="4" width="5.25" bestFit="1" customWidth="1"/>
    <col min="5" max="5" width="7.125" bestFit="1" customWidth="1"/>
    <col min="6" max="6" width="5.25" bestFit="1" customWidth="1"/>
  </cols>
  <sheetData>
    <row r="1" spans="1:6" x14ac:dyDescent="0.4">
      <c r="A1" s="23" t="s">
        <v>3</v>
      </c>
      <c r="B1" s="23" t="s">
        <v>1</v>
      </c>
      <c r="C1" s="23" t="s">
        <v>4</v>
      </c>
      <c r="D1" s="23" t="s">
        <v>480</v>
      </c>
      <c r="E1" s="23" t="s">
        <v>484</v>
      </c>
      <c r="F1" s="23" t="s">
        <v>485</v>
      </c>
    </row>
    <row r="2" spans="1:6" x14ac:dyDescent="0.4">
      <c r="A2" s="30">
        <v>767485406689</v>
      </c>
      <c r="B2" s="30" t="s">
        <v>304</v>
      </c>
      <c r="C2" s="30" t="s">
        <v>379</v>
      </c>
      <c r="D2" s="30">
        <v>1</v>
      </c>
      <c r="E2" s="30">
        <v>50</v>
      </c>
      <c r="F2" s="30" t="s">
        <v>486</v>
      </c>
    </row>
    <row r="3" spans="1:6" x14ac:dyDescent="0.4">
      <c r="A3" s="22">
        <v>4904810128465</v>
      </c>
      <c r="B3" s="22" t="s">
        <v>304</v>
      </c>
      <c r="C3" s="22" t="s">
        <v>349</v>
      </c>
      <c r="D3" s="22">
        <v>1</v>
      </c>
      <c r="E3" s="22">
        <v>30</v>
      </c>
      <c r="F3" s="22"/>
    </row>
    <row r="4" spans="1:6" x14ac:dyDescent="0.4">
      <c r="A4" s="22">
        <v>4904810814856</v>
      </c>
      <c r="B4" s="22" t="s">
        <v>304</v>
      </c>
      <c r="C4" s="22" t="s">
        <v>407</v>
      </c>
      <c r="D4" s="22">
        <v>1</v>
      </c>
      <c r="E4" s="22">
        <v>30</v>
      </c>
      <c r="F4" s="22"/>
    </row>
    <row r="5" spans="1:6" x14ac:dyDescent="0.4">
      <c r="A5" s="22">
        <v>4950190136569</v>
      </c>
      <c r="B5" s="22" t="s">
        <v>304</v>
      </c>
      <c r="C5" s="22" t="s">
        <v>361</v>
      </c>
      <c r="D5" s="22">
        <v>1</v>
      </c>
      <c r="E5" s="22">
        <v>30</v>
      </c>
      <c r="F5" s="22"/>
    </row>
    <row r="6" spans="1:6" x14ac:dyDescent="0.4">
      <c r="A6" s="22"/>
      <c r="B6" s="22"/>
      <c r="C6" s="22"/>
      <c r="D6" s="22" t="s">
        <v>487</v>
      </c>
      <c r="E6" s="22" t="str">
        <f>SUM(E2:E5) &amp; "円"</f>
        <v>140円</v>
      </c>
      <c r="F6" s="22"/>
    </row>
    <row r="7" spans="1:6" x14ac:dyDescent="0.4">
      <c r="A7" s="22"/>
      <c r="B7" s="22"/>
      <c r="C7" s="22"/>
      <c r="D7" s="22"/>
      <c r="E7" s="22"/>
      <c r="F7" s="22"/>
    </row>
    <row r="8" spans="1:6" x14ac:dyDescent="0.4">
      <c r="A8" s="22"/>
      <c r="B8" s="22"/>
      <c r="C8" s="22"/>
      <c r="D8" s="22"/>
      <c r="E8" s="22"/>
      <c r="F8" s="22"/>
    </row>
    <row r="9" spans="1:6" x14ac:dyDescent="0.4">
      <c r="A9" s="22"/>
      <c r="B9" s="22"/>
      <c r="C9" s="22"/>
      <c r="D9" s="22"/>
      <c r="E9" s="22"/>
      <c r="F9" s="22"/>
    </row>
    <row r="10" spans="1:6" x14ac:dyDescent="0.4">
      <c r="A10" s="22"/>
      <c r="B10" s="22"/>
      <c r="C10" s="22"/>
      <c r="D10" s="22"/>
      <c r="E10" s="22"/>
      <c r="F10" s="22"/>
    </row>
    <row r="11" spans="1:6" x14ac:dyDescent="0.4">
      <c r="A11" s="22"/>
      <c r="B11" s="22"/>
      <c r="C11" s="22"/>
      <c r="D11" s="22"/>
      <c r="E11" s="22"/>
      <c r="F11" s="22"/>
    </row>
    <row r="12" spans="1:6" x14ac:dyDescent="0.4">
      <c r="A12" s="22"/>
      <c r="B12" s="22"/>
      <c r="C12" s="22"/>
      <c r="D12" s="22"/>
      <c r="E12" s="22"/>
      <c r="F12" s="22"/>
    </row>
    <row r="13" spans="1:6" x14ac:dyDescent="0.4">
      <c r="A13" s="22"/>
      <c r="B13" s="22"/>
      <c r="C13" s="22"/>
      <c r="D13" s="22"/>
      <c r="E13" s="22"/>
      <c r="F13" s="22"/>
    </row>
    <row r="14" spans="1:6" x14ac:dyDescent="0.4">
      <c r="A14" s="22"/>
      <c r="B14" s="22"/>
      <c r="C14" s="22"/>
      <c r="D14" s="22"/>
      <c r="E14" s="22"/>
      <c r="F14" s="22"/>
    </row>
    <row r="15" spans="1:6" x14ac:dyDescent="0.4">
      <c r="A15" s="22"/>
      <c r="B15" s="22"/>
      <c r="C15" s="22"/>
      <c r="D15" s="22"/>
      <c r="E15" s="22"/>
      <c r="F15" s="22"/>
    </row>
    <row r="16" spans="1:6" x14ac:dyDescent="0.4">
      <c r="A16" s="22"/>
      <c r="B16" s="22"/>
      <c r="C16" s="22"/>
      <c r="D16" s="22"/>
      <c r="E16" s="22"/>
      <c r="F16" s="22"/>
    </row>
    <row r="17" spans="1:6" x14ac:dyDescent="0.4">
      <c r="A17" s="22"/>
      <c r="B17" s="22"/>
      <c r="C17" s="22"/>
      <c r="D17" s="22"/>
      <c r="E17" s="22"/>
      <c r="F17" s="22"/>
    </row>
    <row r="18" spans="1:6" x14ac:dyDescent="0.4">
      <c r="A18" s="22"/>
      <c r="B18" s="22"/>
      <c r="C18" s="22"/>
      <c r="D18" s="22"/>
      <c r="E18" s="22"/>
      <c r="F18" s="22"/>
    </row>
    <row r="19" spans="1:6" x14ac:dyDescent="0.4">
      <c r="A19" s="22"/>
      <c r="B19" s="22"/>
      <c r="C19" s="22"/>
      <c r="D19" s="22"/>
      <c r="E19" s="22"/>
      <c r="F19" s="22"/>
    </row>
    <row r="20" spans="1:6" x14ac:dyDescent="0.4">
      <c r="A20" s="22"/>
      <c r="B20" s="22"/>
      <c r="C20" s="22"/>
      <c r="D20" s="22"/>
      <c r="E20" s="22"/>
      <c r="F20" s="22"/>
    </row>
    <row r="21" spans="1:6" x14ac:dyDescent="0.4">
      <c r="A21" s="22"/>
      <c r="B21" s="22"/>
      <c r="C21" s="22"/>
      <c r="D21" s="22"/>
      <c r="E21" s="22"/>
      <c r="F21" s="22"/>
    </row>
    <row r="22" spans="1:6" x14ac:dyDescent="0.4">
      <c r="A22" s="30"/>
      <c r="B22" s="30"/>
      <c r="C22" s="30"/>
      <c r="D22" s="30"/>
      <c r="E22" s="30"/>
      <c r="F22" s="30"/>
    </row>
    <row r="23" spans="1:6" x14ac:dyDescent="0.4">
      <c r="A23" s="22"/>
      <c r="B23" s="22"/>
      <c r="C23" s="22"/>
      <c r="D23" s="22"/>
      <c r="E23" s="22"/>
      <c r="F23" s="22"/>
    </row>
    <row r="24" spans="1:6" x14ac:dyDescent="0.4">
      <c r="A24" s="22"/>
      <c r="B24" s="22"/>
      <c r="C24" s="22"/>
      <c r="D24" s="22"/>
      <c r="E24" s="22"/>
      <c r="F24" s="22"/>
    </row>
    <row r="25" spans="1:6" x14ac:dyDescent="0.4">
      <c r="A25" s="30"/>
      <c r="B25" s="30"/>
      <c r="C25" s="30"/>
      <c r="D25" s="30"/>
      <c r="E25" s="30"/>
      <c r="F25" s="30"/>
    </row>
    <row r="26" spans="1:6" x14ac:dyDescent="0.4">
      <c r="A26" s="22"/>
      <c r="B26" s="22"/>
      <c r="C26" s="22"/>
      <c r="D26" s="22"/>
      <c r="E26" s="22"/>
      <c r="F26" s="22"/>
    </row>
    <row r="27" spans="1:6" x14ac:dyDescent="0.4">
      <c r="A27" s="22"/>
      <c r="B27" s="22"/>
      <c r="C27" s="22"/>
      <c r="D27" s="22"/>
      <c r="E27" s="22"/>
      <c r="F27" s="22"/>
    </row>
    <row r="28" spans="1:6" x14ac:dyDescent="0.4">
      <c r="A28" s="22"/>
      <c r="B28" s="22"/>
      <c r="C28" s="22"/>
      <c r="D28" s="22"/>
      <c r="E28" s="22"/>
      <c r="F28" s="22"/>
    </row>
    <row r="29" spans="1:6" x14ac:dyDescent="0.4">
      <c r="A29" s="22"/>
      <c r="B29" s="22"/>
      <c r="C29" s="22"/>
      <c r="D29" s="22"/>
      <c r="E29" s="22"/>
      <c r="F29" s="22"/>
    </row>
    <row r="30" spans="1:6" x14ac:dyDescent="0.4">
      <c r="A30" s="22"/>
      <c r="B30" s="22"/>
      <c r="C30" s="22"/>
      <c r="D30" s="22"/>
      <c r="E30" s="22"/>
      <c r="F30" s="22"/>
    </row>
    <row r="31" spans="1:6" x14ac:dyDescent="0.4">
      <c r="A31" s="22"/>
      <c r="B31" s="22"/>
      <c r="C31" s="22"/>
      <c r="D31" s="22"/>
      <c r="E31" s="22"/>
      <c r="F31" s="22"/>
    </row>
    <row r="32" spans="1:6" x14ac:dyDescent="0.4">
      <c r="A32" s="22"/>
      <c r="B32" s="22"/>
      <c r="C32" s="22"/>
      <c r="D32" s="22"/>
      <c r="E32" s="22"/>
      <c r="F32" s="22"/>
    </row>
    <row r="33" spans="1:6" x14ac:dyDescent="0.4">
      <c r="A33" s="22"/>
      <c r="B33" s="22"/>
      <c r="C33" s="22"/>
      <c r="D33" s="22"/>
      <c r="E33" s="22"/>
      <c r="F33" s="22"/>
    </row>
    <row r="34" spans="1:6" x14ac:dyDescent="0.4">
      <c r="A34" s="22"/>
      <c r="B34" s="22"/>
      <c r="C34" s="22"/>
      <c r="D34" s="22"/>
      <c r="E34" s="22"/>
      <c r="F34" s="22"/>
    </row>
    <row r="35" spans="1:6" x14ac:dyDescent="0.4">
      <c r="A35" s="22"/>
      <c r="B35" s="22"/>
      <c r="C35" s="22"/>
      <c r="D35" s="22"/>
      <c r="E35" s="22"/>
      <c r="F35" s="22"/>
    </row>
    <row r="36" spans="1:6" x14ac:dyDescent="0.4">
      <c r="A36" s="22"/>
      <c r="B36" s="22"/>
      <c r="C36" s="22"/>
      <c r="D36" s="22"/>
      <c r="E36" s="22"/>
      <c r="F36" s="22"/>
    </row>
  </sheetData>
  <sortState xmlns:xlrd2="http://schemas.microsoft.com/office/spreadsheetml/2017/richdata2" ref="A2:F6">
    <sortCondition ref="B2:B5"/>
  </sortState>
  <phoneticPr fontId="1"/>
  <pageMargins left="0.25" right="0.25" top="0.75" bottom="0.75" header="0.3" footer="0.3"/>
  <pageSetup paperSize="9" scale="70" fitToHeight="0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B308A-7A13-46AE-9BBD-89AA80521422}">
  <sheetPr codeName="Sheet8"/>
  <dimension ref="A1:G133"/>
  <sheetViews>
    <sheetView workbookViewId="0">
      <selection activeCell="G8" sqref="G8"/>
    </sheetView>
  </sheetViews>
  <sheetFormatPr defaultRowHeight="18.75" x14ac:dyDescent="0.4"/>
  <cols>
    <col min="1" max="1" width="23.5" bestFit="1" customWidth="1"/>
    <col min="2" max="2" width="13" bestFit="1" customWidth="1"/>
    <col min="3" max="3" width="15.125" bestFit="1" customWidth="1"/>
    <col min="4" max="4" width="55.75" customWidth="1"/>
  </cols>
  <sheetData>
    <row r="1" spans="1:4" x14ac:dyDescent="0.4">
      <c r="A1" t="s">
        <v>38</v>
      </c>
      <c r="B1" t="s">
        <v>39</v>
      </c>
      <c r="C1" t="s">
        <v>40</v>
      </c>
      <c r="D1" t="s">
        <v>36</v>
      </c>
    </row>
    <row r="2" spans="1:4" x14ac:dyDescent="0.4">
      <c r="A2" t="s">
        <v>41</v>
      </c>
      <c r="B2" t="s">
        <v>42</v>
      </c>
      <c r="C2" t="s">
        <v>335</v>
      </c>
      <c r="D2" s="20" t="s">
        <v>336</v>
      </c>
    </row>
    <row r="3" spans="1:4" x14ac:dyDescent="0.4">
      <c r="A3" t="s">
        <v>41</v>
      </c>
      <c r="B3" t="s">
        <v>42</v>
      </c>
      <c r="C3" t="s">
        <v>43</v>
      </c>
      <c r="D3" t="s">
        <v>44</v>
      </c>
    </row>
    <row r="4" spans="1:4" x14ac:dyDescent="0.4">
      <c r="A4" t="s">
        <v>41</v>
      </c>
      <c r="B4" t="s">
        <v>42</v>
      </c>
      <c r="C4" t="s">
        <v>45</v>
      </c>
      <c r="D4" t="s">
        <v>46</v>
      </c>
    </row>
    <row r="5" spans="1:4" x14ac:dyDescent="0.4">
      <c r="A5" t="s">
        <v>41</v>
      </c>
      <c r="B5" t="s">
        <v>42</v>
      </c>
      <c r="C5" t="s">
        <v>47</v>
      </c>
      <c r="D5" t="s">
        <v>48</v>
      </c>
    </row>
    <row r="6" spans="1:4" x14ac:dyDescent="0.4">
      <c r="A6" t="s">
        <v>41</v>
      </c>
      <c r="B6" t="s">
        <v>42</v>
      </c>
      <c r="C6" t="s">
        <v>49</v>
      </c>
      <c r="D6" t="s">
        <v>50</v>
      </c>
    </row>
    <row r="7" spans="1:4" x14ac:dyDescent="0.4">
      <c r="A7" t="s">
        <v>41</v>
      </c>
      <c r="B7" t="s">
        <v>42</v>
      </c>
      <c r="C7" t="s">
        <v>51</v>
      </c>
      <c r="D7" t="s">
        <v>52</v>
      </c>
    </row>
    <row r="8" spans="1:4" x14ac:dyDescent="0.4">
      <c r="A8" t="s">
        <v>41</v>
      </c>
      <c r="B8" t="s">
        <v>42</v>
      </c>
      <c r="C8" t="s">
        <v>53</v>
      </c>
      <c r="D8" t="s">
        <v>54</v>
      </c>
    </row>
    <row r="9" spans="1:4" x14ac:dyDescent="0.4">
      <c r="A9" t="s">
        <v>41</v>
      </c>
      <c r="B9" t="s">
        <v>42</v>
      </c>
      <c r="C9" t="s">
        <v>55</v>
      </c>
      <c r="D9" t="s">
        <v>56</v>
      </c>
    </row>
    <row r="10" spans="1:4" x14ac:dyDescent="0.4">
      <c r="A10" t="s">
        <v>41</v>
      </c>
      <c r="B10" t="s">
        <v>42</v>
      </c>
      <c r="C10" t="s">
        <v>37</v>
      </c>
      <c r="D10" t="s">
        <v>57</v>
      </c>
    </row>
    <row r="11" spans="1:4" x14ac:dyDescent="0.4">
      <c r="A11" t="s">
        <v>41</v>
      </c>
      <c r="B11" t="s">
        <v>42</v>
      </c>
      <c r="C11" t="s">
        <v>58</v>
      </c>
      <c r="D11" t="s">
        <v>59</v>
      </c>
    </row>
    <row r="12" spans="1:4" x14ac:dyDescent="0.4">
      <c r="A12" t="s">
        <v>60</v>
      </c>
      <c r="B12" t="s">
        <v>61</v>
      </c>
      <c r="C12" t="s">
        <v>62</v>
      </c>
      <c r="D12" t="s">
        <v>63</v>
      </c>
    </row>
    <row r="13" spans="1:4" x14ac:dyDescent="0.4">
      <c r="A13" t="s">
        <v>60</v>
      </c>
      <c r="B13" t="s">
        <v>61</v>
      </c>
      <c r="C13" t="s">
        <v>64</v>
      </c>
      <c r="D13" t="s">
        <v>65</v>
      </c>
    </row>
    <row r="14" spans="1:4" x14ac:dyDescent="0.4">
      <c r="A14" t="s">
        <v>60</v>
      </c>
      <c r="B14" t="s">
        <v>61</v>
      </c>
      <c r="C14" t="s">
        <v>66</v>
      </c>
      <c r="D14" t="s">
        <v>67</v>
      </c>
    </row>
    <row r="15" spans="1:4" x14ac:dyDescent="0.4">
      <c r="A15" t="s">
        <v>60</v>
      </c>
      <c r="B15" t="s">
        <v>61</v>
      </c>
      <c r="C15" t="s">
        <v>68</v>
      </c>
      <c r="D15" t="s">
        <v>69</v>
      </c>
    </row>
    <row r="16" spans="1:4" x14ac:dyDescent="0.4">
      <c r="A16" t="s">
        <v>60</v>
      </c>
      <c r="B16" t="s">
        <v>61</v>
      </c>
      <c r="C16" t="s">
        <v>70</v>
      </c>
      <c r="D16" t="s">
        <v>71</v>
      </c>
    </row>
    <row r="17" spans="1:4" x14ac:dyDescent="0.4">
      <c r="A17" t="s">
        <v>60</v>
      </c>
      <c r="B17" t="s">
        <v>61</v>
      </c>
      <c r="C17" t="s">
        <v>72</v>
      </c>
      <c r="D17" t="s">
        <v>73</v>
      </c>
    </row>
    <row r="18" spans="1:4" x14ac:dyDescent="0.4">
      <c r="A18" t="s">
        <v>60</v>
      </c>
      <c r="B18" t="s">
        <v>61</v>
      </c>
      <c r="C18" t="s">
        <v>74</v>
      </c>
      <c r="D18" t="s">
        <v>75</v>
      </c>
    </row>
    <row r="19" spans="1:4" x14ac:dyDescent="0.4">
      <c r="A19" t="s">
        <v>60</v>
      </c>
      <c r="B19" t="s">
        <v>61</v>
      </c>
      <c r="C19" t="s">
        <v>76</v>
      </c>
      <c r="D19" t="s">
        <v>77</v>
      </c>
    </row>
    <row r="20" spans="1:4" x14ac:dyDescent="0.4">
      <c r="A20" t="s">
        <v>60</v>
      </c>
      <c r="B20" t="s">
        <v>61</v>
      </c>
      <c r="C20" t="s">
        <v>78</v>
      </c>
      <c r="D20" t="s">
        <v>79</v>
      </c>
    </row>
    <row r="21" spans="1:4" x14ac:dyDescent="0.4">
      <c r="A21" t="s">
        <v>60</v>
      </c>
      <c r="B21" t="s">
        <v>61</v>
      </c>
      <c r="C21" t="s">
        <v>80</v>
      </c>
      <c r="D21" t="s">
        <v>81</v>
      </c>
    </row>
    <row r="22" spans="1:4" x14ac:dyDescent="0.4">
      <c r="A22" t="s">
        <v>60</v>
      </c>
      <c r="B22" t="s">
        <v>61</v>
      </c>
      <c r="C22" t="s">
        <v>82</v>
      </c>
      <c r="D22" t="s">
        <v>83</v>
      </c>
    </row>
    <row r="23" spans="1:4" x14ac:dyDescent="0.4">
      <c r="A23" t="s">
        <v>60</v>
      </c>
      <c r="B23" t="s">
        <v>61</v>
      </c>
      <c r="C23" t="s">
        <v>84</v>
      </c>
      <c r="D23" t="s">
        <v>85</v>
      </c>
    </row>
    <row r="24" spans="1:4" x14ac:dyDescent="0.4">
      <c r="A24" t="s">
        <v>86</v>
      </c>
      <c r="B24" t="s">
        <v>87</v>
      </c>
      <c r="C24" t="s">
        <v>88</v>
      </c>
      <c r="D24" t="s">
        <v>89</v>
      </c>
    </row>
    <row r="25" spans="1:4" x14ac:dyDescent="0.4">
      <c r="A25" t="s">
        <v>86</v>
      </c>
      <c r="B25" t="s">
        <v>87</v>
      </c>
      <c r="C25" t="s">
        <v>90</v>
      </c>
      <c r="D25" t="s">
        <v>91</v>
      </c>
    </row>
    <row r="26" spans="1:4" x14ac:dyDescent="0.4">
      <c r="A26" t="s">
        <v>86</v>
      </c>
      <c r="B26" t="s">
        <v>87</v>
      </c>
      <c r="C26" t="s">
        <v>92</v>
      </c>
      <c r="D26" t="s">
        <v>93</v>
      </c>
    </row>
    <row r="27" spans="1:4" x14ac:dyDescent="0.4">
      <c r="A27" t="s">
        <v>86</v>
      </c>
      <c r="B27" t="s">
        <v>87</v>
      </c>
      <c r="C27" t="s">
        <v>94</v>
      </c>
      <c r="D27" t="s">
        <v>95</v>
      </c>
    </row>
    <row r="28" spans="1:4" x14ac:dyDescent="0.4">
      <c r="A28" t="s">
        <v>86</v>
      </c>
      <c r="B28" t="s">
        <v>87</v>
      </c>
      <c r="C28" t="s">
        <v>96</v>
      </c>
      <c r="D28" t="s">
        <v>97</v>
      </c>
    </row>
    <row r="29" spans="1:4" x14ac:dyDescent="0.4">
      <c r="A29" t="s">
        <v>86</v>
      </c>
      <c r="B29" t="s">
        <v>87</v>
      </c>
      <c r="C29" t="s">
        <v>98</v>
      </c>
      <c r="D29" t="s">
        <v>99</v>
      </c>
    </row>
    <row r="30" spans="1:4" x14ac:dyDescent="0.4">
      <c r="A30" t="s">
        <v>86</v>
      </c>
      <c r="B30" t="s">
        <v>87</v>
      </c>
      <c r="C30" t="s">
        <v>100</v>
      </c>
      <c r="D30" t="s">
        <v>101</v>
      </c>
    </row>
    <row r="31" spans="1:4" x14ac:dyDescent="0.4">
      <c r="A31" t="s">
        <v>86</v>
      </c>
      <c r="B31" t="s">
        <v>87</v>
      </c>
      <c r="C31" t="s">
        <v>102</v>
      </c>
      <c r="D31" t="s">
        <v>103</v>
      </c>
    </row>
    <row r="32" spans="1:4" x14ac:dyDescent="0.4">
      <c r="A32" t="s">
        <v>104</v>
      </c>
      <c r="B32" t="s">
        <v>105</v>
      </c>
      <c r="C32" t="s">
        <v>332</v>
      </c>
      <c r="D32" s="20" t="s">
        <v>333</v>
      </c>
    </row>
    <row r="33" spans="1:4" x14ac:dyDescent="0.4">
      <c r="A33" t="s">
        <v>104</v>
      </c>
      <c r="B33" t="s">
        <v>105</v>
      </c>
      <c r="C33" t="s">
        <v>106</v>
      </c>
      <c r="D33" t="s">
        <v>107</v>
      </c>
    </row>
    <row r="34" spans="1:4" x14ac:dyDescent="0.4">
      <c r="A34" t="s">
        <v>104</v>
      </c>
      <c r="B34" t="s">
        <v>105</v>
      </c>
      <c r="C34" t="s">
        <v>108</v>
      </c>
      <c r="D34" t="s">
        <v>109</v>
      </c>
    </row>
    <row r="35" spans="1:4" x14ac:dyDescent="0.4">
      <c r="A35" t="s">
        <v>104</v>
      </c>
      <c r="B35" t="s">
        <v>105</v>
      </c>
      <c r="C35" t="s">
        <v>110</v>
      </c>
      <c r="D35" t="s">
        <v>111</v>
      </c>
    </row>
    <row r="36" spans="1:4" x14ac:dyDescent="0.4">
      <c r="A36" t="s">
        <v>104</v>
      </c>
      <c r="B36" t="s">
        <v>105</v>
      </c>
      <c r="C36" t="s">
        <v>112</v>
      </c>
      <c r="D36" t="s">
        <v>113</v>
      </c>
    </row>
    <row r="37" spans="1:4" x14ac:dyDescent="0.4">
      <c r="A37" t="s">
        <v>104</v>
      </c>
      <c r="B37" t="s">
        <v>105</v>
      </c>
      <c r="C37" t="s">
        <v>114</v>
      </c>
      <c r="D37" t="s">
        <v>115</v>
      </c>
    </row>
    <row r="38" spans="1:4" x14ac:dyDescent="0.4">
      <c r="A38" t="s">
        <v>104</v>
      </c>
      <c r="B38" t="s">
        <v>105</v>
      </c>
      <c r="C38" t="s">
        <v>116</v>
      </c>
      <c r="D38" t="s">
        <v>117</v>
      </c>
    </row>
    <row r="39" spans="1:4" x14ac:dyDescent="0.4">
      <c r="A39" t="s">
        <v>104</v>
      </c>
      <c r="B39" t="s">
        <v>105</v>
      </c>
      <c r="C39" t="s">
        <v>118</v>
      </c>
      <c r="D39" t="s">
        <v>119</v>
      </c>
    </row>
    <row r="40" spans="1:4" x14ac:dyDescent="0.4">
      <c r="A40" t="s">
        <v>104</v>
      </c>
      <c r="B40" t="s">
        <v>105</v>
      </c>
      <c r="C40" t="s">
        <v>120</v>
      </c>
      <c r="D40" t="s">
        <v>121</v>
      </c>
    </row>
    <row r="41" spans="1:4" x14ac:dyDescent="0.4">
      <c r="A41" t="s">
        <v>104</v>
      </c>
      <c r="B41" t="s">
        <v>105</v>
      </c>
      <c r="C41" t="s">
        <v>122</v>
      </c>
      <c r="D41" t="s">
        <v>123</v>
      </c>
    </row>
    <row r="42" spans="1:4" x14ac:dyDescent="0.4">
      <c r="A42" t="s">
        <v>104</v>
      </c>
      <c r="B42" t="s">
        <v>105</v>
      </c>
      <c r="C42" t="s">
        <v>124</v>
      </c>
      <c r="D42" t="s">
        <v>125</v>
      </c>
    </row>
    <row r="43" spans="1:4" x14ac:dyDescent="0.4">
      <c r="A43" t="s">
        <v>104</v>
      </c>
      <c r="B43" t="s">
        <v>105</v>
      </c>
      <c r="C43" t="s">
        <v>126</v>
      </c>
      <c r="D43" t="s">
        <v>331</v>
      </c>
    </row>
    <row r="44" spans="1:4" x14ac:dyDescent="0.4">
      <c r="A44" t="s">
        <v>104</v>
      </c>
      <c r="B44" t="s">
        <v>105</v>
      </c>
      <c r="C44" t="s">
        <v>127</v>
      </c>
      <c r="D44" t="s">
        <v>128</v>
      </c>
    </row>
    <row r="45" spans="1:4" x14ac:dyDescent="0.4">
      <c r="A45" t="s">
        <v>129</v>
      </c>
      <c r="B45" t="s">
        <v>130</v>
      </c>
      <c r="C45" t="s">
        <v>315</v>
      </c>
      <c r="D45" t="s">
        <v>316</v>
      </c>
    </row>
    <row r="46" spans="1:4" x14ac:dyDescent="0.4">
      <c r="A46" t="s">
        <v>129</v>
      </c>
      <c r="B46" t="s">
        <v>130</v>
      </c>
      <c r="C46" t="s">
        <v>313</v>
      </c>
      <c r="D46" t="s">
        <v>314</v>
      </c>
    </row>
    <row r="47" spans="1:4" x14ac:dyDescent="0.4">
      <c r="A47" t="s">
        <v>129</v>
      </c>
      <c r="B47" t="s">
        <v>130</v>
      </c>
      <c r="C47" t="s">
        <v>310</v>
      </c>
      <c r="D47" t="s">
        <v>311</v>
      </c>
    </row>
    <row r="48" spans="1:4" x14ac:dyDescent="0.4">
      <c r="A48" t="s">
        <v>129</v>
      </c>
      <c r="B48" t="s">
        <v>130</v>
      </c>
      <c r="C48" t="s">
        <v>131</v>
      </c>
      <c r="D48" t="s">
        <v>132</v>
      </c>
    </row>
    <row r="49" spans="1:7" x14ac:dyDescent="0.4">
      <c r="A49" t="s">
        <v>129</v>
      </c>
      <c r="B49" t="s">
        <v>130</v>
      </c>
      <c r="C49" t="s">
        <v>133</v>
      </c>
      <c r="D49" t="s">
        <v>312</v>
      </c>
    </row>
    <row r="50" spans="1:7" x14ac:dyDescent="0.4">
      <c r="A50" t="s">
        <v>129</v>
      </c>
      <c r="B50" t="s">
        <v>130</v>
      </c>
      <c r="C50" t="s">
        <v>134</v>
      </c>
      <c r="D50" t="s">
        <v>135</v>
      </c>
    </row>
    <row r="51" spans="1:7" x14ac:dyDescent="0.4">
      <c r="A51" t="s">
        <v>129</v>
      </c>
      <c r="B51" t="s">
        <v>130</v>
      </c>
      <c r="C51" t="s">
        <v>136</v>
      </c>
      <c r="D51" t="s">
        <v>137</v>
      </c>
    </row>
    <row r="52" spans="1:7" x14ac:dyDescent="0.4">
      <c r="A52" t="s">
        <v>129</v>
      </c>
      <c r="B52" t="s">
        <v>130</v>
      </c>
      <c r="C52" t="s">
        <v>138</v>
      </c>
      <c r="D52" t="s">
        <v>139</v>
      </c>
    </row>
    <row r="53" spans="1:7" x14ac:dyDescent="0.4">
      <c r="A53" t="s">
        <v>129</v>
      </c>
      <c r="B53" t="s">
        <v>130</v>
      </c>
      <c r="C53" t="s">
        <v>140</v>
      </c>
      <c r="D53" t="s">
        <v>141</v>
      </c>
    </row>
    <row r="54" spans="1:7" x14ac:dyDescent="0.4">
      <c r="A54" t="s">
        <v>129</v>
      </c>
      <c r="B54" t="s">
        <v>130</v>
      </c>
      <c r="C54" t="s">
        <v>142</v>
      </c>
      <c r="D54" t="s">
        <v>143</v>
      </c>
    </row>
    <row r="55" spans="1:7" x14ac:dyDescent="0.4">
      <c r="A55" t="s">
        <v>129</v>
      </c>
      <c r="B55" t="s">
        <v>130</v>
      </c>
      <c r="C55" t="s">
        <v>144</v>
      </c>
      <c r="D55" t="s">
        <v>145</v>
      </c>
    </row>
    <row r="56" spans="1:7" x14ac:dyDescent="0.4">
      <c r="A56" t="s">
        <v>129</v>
      </c>
      <c r="B56" t="s">
        <v>130</v>
      </c>
      <c r="C56" t="s">
        <v>146</v>
      </c>
      <c r="D56" t="s">
        <v>147</v>
      </c>
    </row>
    <row r="57" spans="1:7" ht="19.5" thickBot="1" x14ac:dyDescent="0.45">
      <c r="A57" t="s">
        <v>129</v>
      </c>
      <c r="B57" t="s">
        <v>130</v>
      </c>
      <c r="C57" t="s">
        <v>148</v>
      </c>
      <c r="D57" t="s">
        <v>149</v>
      </c>
    </row>
    <row r="58" spans="1:7" ht="19.5" thickBot="1" x14ac:dyDescent="0.45">
      <c r="A58" s="4" t="s">
        <v>150</v>
      </c>
      <c r="B58" t="s">
        <v>151</v>
      </c>
      <c r="C58" s="4" t="s">
        <v>329</v>
      </c>
      <c r="D58" t="s">
        <v>330</v>
      </c>
    </row>
    <row r="59" spans="1:7" ht="19.5" thickBot="1" x14ac:dyDescent="0.45">
      <c r="A59" s="4" t="s">
        <v>150</v>
      </c>
      <c r="B59" s="4" t="s">
        <v>151</v>
      </c>
      <c r="C59" s="4" t="s">
        <v>317</v>
      </c>
      <c r="D59" s="5" t="s">
        <v>318</v>
      </c>
      <c r="E59" s="3"/>
      <c r="F59" s="3"/>
      <c r="G59" s="3"/>
    </row>
    <row r="60" spans="1:7" x14ac:dyDescent="0.4">
      <c r="A60" t="s">
        <v>150</v>
      </c>
      <c r="B60" t="s">
        <v>151</v>
      </c>
      <c r="C60" t="s">
        <v>152</v>
      </c>
      <c r="D60" t="s">
        <v>153</v>
      </c>
    </row>
    <row r="61" spans="1:7" x14ac:dyDescent="0.4">
      <c r="A61" t="s">
        <v>150</v>
      </c>
      <c r="B61" t="s">
        <v>151</v>
      </c>
      <c r="C61" t="s">
        <v>154</v>
      </c>
      <c r="D61" t="s">
        <v>155</v>
      </c>
    </row>
    <row r="62" spans="1:7" x14ac:dyDescent="0.4">
      <c r="A62" t="s">
        <v>150</v>
      </c>
      <c r="B62" t="s">
        <v>151</v>
      </c>
      <c r="C62" t="s">
        <v>156</v>
      </c>
      <c r="D62" t="s">
        <v>157</v>
      </c>
    </row>
    <row r="63" spans="1:7" x14ac:dyDescent="0.4">
      <c r="A63" t="s">
        <v>150</v>
      </c>
      <c r="B63" t="s">
        <v>151</v>
      </c>
      <c r="C63" t="s">
        <v>158</v>
      </c>
      <c r="D63" t="s">
        <v>159</v>
      </c>
    </row>
    <row r="64" spans="1:7" x14ac:dyDescent="0.4">
      <c r="A64" t="s">
        <v>150</v>
      </c>
      <c r="B64" t="s">
        <v>151</v>
      </c>
      <c r="C64" t="s">
        <v>160</v>
      </c>
      <c r="D64" t="s">
        <v>161</v>
      </c>
    </row>
    <row r="65" spans="1:4" x14ac:dyDescent="0.4">
      <c r="A65" t="s">
        <v>150</v>
      </c>
      <c r="B65" t="s">
        <v>151</v>
      </c>
      <c r="C65" t="s">
        <v>162</v>
      </c>
      <c r="D65" t="s">
        <v>163</v>
      </c>
    </row>
    <row r="66" spans="1:4" x14ac:dyDescent="0.4">
      <c r="A66" t="s">
        <v>150</v>
      </c>
      <c r="B66" t="s">
        <v>151</v>
      </c>
      <c r="C66" t="s">
        <v>164</v>
      </c>
      <c r="D66" t="s">
        <v>165</v>
      </c>
    </row>
    <row r="67" spans="1:4" x14ac:dyDescent="0.4">
      <c r="A67" t="s">
        <v>150</v>
      </c>
      <c r="B67" t="s">
        <v>151</v>
      </c>
      <c r="C67" t="s">
        <v>166</v>
      </c>
      <c r="D67" t="s">
        <v>167</v>
      </c>
    </row>
    <row r="68" spans="1:4" x14ac:dyDescent="0.4">
      <c r="A68" t="s">
        <v>150</v>
      </c>
      <c r="B68" t="s">
        <v>151</v>
      </c>
      <c r="C68" t="s">
        <v>168</v>
      </c>
      <c r="D68" t="s">
        <v>169</v>
      </c>
    </row>
    <row r="69" spans="1:4" x14ac:dyDescent="0.4">
      <c r="A69" t="s">
        <v>170</v>
      </c>
      <c r="B69" t="s">
        <v>171</v>
      </c>
      <c r="C69" t="s">
        <v>172</v>
      </c>
      <c r="D69" t="s">
        <v>173</v>
      </c>
    </row>
    <row r="70" spans="1:4" x14ac:dyDescent="0.4">
      <c r="A70" t="s">
        <v>170</v>
      </c>
      <c r="B70" t="s">
        <v>171</v>
      </c>
      <c r="C70" t="s">
        <v>174</v>
      </c>
      <c r="D70" t="s">
        <v>50</v>
      </c>
    </row>
    <row r="71" spans="1:4" x14ac:dyDescent="0.4">
      <c r="A71" t="s">
        <v>170</v>
      </c>
      <c r="B71" t="s">
        <v>171</v>
      </c>
      <c r="C71" t="s">
        <v>175</v>
      </c>
      <c r="D71" t="s">
        <v>176</v>
      </c>
    </row>
    <row r="72" spans="1:4" x14ac:dyDescent="0.4">
      <c r="A72" t="s">
        <v>170</v>
      </c>
      <c r="B72" t="s">
        <v>171</v>
      </c>
      <c r="C72" t="s">
        <v>177</v>
      </c>
      <c r="D72" t="s">
        <v>178</v>
      </c>
    </row>
    <row r="73" spans="1:4" x14ac:dyDescent="0.4">
      <c r="A73" t="s">
        <v>170</v>
      </c>
      <c r="B73" t="s">
        <v>171</v>
      </c>
      <c r="C73" t="s">
        <v>179</v>
      </c>
      <c r="D73" t="s">
        <v>180</v>
      </c>
    </row>
    <row r="74" spans="1:4" x14ac:dyDescent="0.4">
      <c r="A74" t="s">
        <v>170</v>
      </c>
      <c r="B74" t="s">
        <v>171</v>
      </c>
      <c r="C74" t="s">
        <v>181</v>
      </c>
      <c r="D74" t="s">
        <v>182</v>
      </c>
    </row>
    <row r="75" spans="1:4" x14ac:dyDescent="0.4">
      <c r="A75" t="s">
        <v>170</v>
      </c>
      <c r="B75" t="s">
        <v>171</v>
      </c>
      <c r="C75" t="s">
        <v>183</v>
      </c>
      <c r="D75" t="s">
        <v>184</v>
      </c>
    </row>
    <row r="76" spans="1:4" x14ac:dyDescent="0.4">
      <c r="A76" t="s">
        <v>170</v>
      </c>
      <c r="B76" t="s">
        <v>171</v>
      </c>
      <c r="C76" t="s">
        <v>185</v>
      </c>
      <c r="D76" t="s">
        <v>186</v>
      </c>
    </row>
    <row r="77" spans="1:4" x14ac:dyDescent="0.4">
      <c r="A77" t="s">
        <v>170</v>
      </c>
      <c r="B77" t="s">
        <v>171</v>
      </c>
      <c r="C77" t="s">
        <v>187</v>
      </c>
      <c r="D77" t="s">
        <v>188</v>
      </c>
    </row>
    <row r="78" spans="1:4" x14ac:dyDescent="0.4">
      <c r="A78" t="s">
        <v>170</v>
      </c>
      <c r="B78" t="s">
        <v>171</v>
      </c>
      <c r="C78" t="s">
        <v>189</v>
      </c>
      <c r="D78" t="s">
        <v>190</v>
      </c>
    </row>
    <row r="79" spans="1:4" x14ac:dyDescent="0.4">
      <c r="A79" t="s">
        <v>170</v>
      </c>
      <c r="B79" t="s">
        <v>171</v>
      </c>
      <c r="C79" t="s">
        <v>191</v>
      </c>
      <c r="D79" t="s">
        <v>192</v>
      </c>
    </row>
    <row r="80" spans="1:4" x14ac:dyDescent="0.4">
      <c r="A80" t="s">
        <v>193</v>
      </c>
      <c r="B80" t="s">
        <v>194</v>
      </c>
      <c r="C80" t="s">
        <v>195</v>
      </c>
      <c r="D80" t="s">
        <v>196</v>
      </c>
    </row>
    <row r="81" spans="1:4" x14ac:dyDescent="0.4">
      <c r="A81" t="s">
        <v>193</v>
      </c>
      <c r="B81" t="s">
        <v>194</v>
      </c>
      <c r="C81" t="s">
        <v>197</v>
      </c>
      <c r="D81" t="s">
        <v>198</v>
      </c>
    </row>
    <row r="82" spans="1:4" x14ac:dyDescent="0.4">
      <c r="A82" t="s">
        <v>193</v>
      </c>
      <c r="B82" t="s">
        <v>194</v>
      </c>
      <c r="C82" t="s">
        <v>199</v>
      </c>
      <c r="D82" t="s">
        <v>200</v>
      </c>
    </row>
    <row r="83" spans="1:4" x14ac:dyDescent="0.4">
      <c r="A83" t="s">
        <v>193</v>
      </c>
      <c r="B83" t="s">
        <v>194</v>
      </c>
      <c r="C83" t="s">
        <v>201</v>
      </c>
      <c r="D83" t="s">
        <v>202</v>
      </c>
    </row>
    <row r="84" spans="1:4" x14ac:dyDescent="0.4">
      <c r="A84" t="s">
        <v>193</v>
      </c>
      <c r="B84" t="s">
        <v>194</v>
      </c>
      <c r="C84" t="s">
        <v>203</v>
      </c>
      <c r="D84" t="s">
        <v>204</v>
      </c>
    </row>
    <row r="85" spans="1:4" x14ac:dyDescent="0.4">
      <c r="A85" t="s">
        <v>193</v>
      </c>
      <c r="B85" t="s">
        <v>194</v>
      </c>
      <c r="C85" t="s">
        <v>205</v>
      </c>
      <c r="D85" t="s">
        <v>206</v>
      </c>
    </row>
    <row r="86" spans="1:4" x14ac:dyDescent="0.4">
      <c r="A86" t="s">
        <v>193</v>
      </c>
      <c r="B86" t="s">
        <v>194</v>
      </c>
      <c r="C86" t="s">
        <v>207</v>
      </c>
      <c r="D86" t="s">
        <v>208</v>
      </c>
    </row>
    <row r="87" spans="1:4" x14ac:dyDescent="0.4">
      <c r="A87" t="s">
        <v>193</v>
      </c>
      <c r="B87" t="s">
        <v>194</v>
      </c>
      <c r="C87" t="s">
        <v>209</v>
      </c>
      <c r="D87" t="s">
        <v>210</v>
      </c>
    </row>
    <row r="88" spans="1:4" x14ac:dyDescent="0.4">
      <c r="A88" t="s">
        <v>193</v>
      </c>
      <c r="B88" t="s">
        <v>194</v>
      </c>
      <c r="C88" t="s">
        <v>211</v>
      </c>
      <c r="D88" t="s">
        <v>212</v>
      </c>
    </row>
    <row r="89" spans="1:4" x14ac:dyDescent="0.4">
      <c r="A89" t="s">
        <v>213</v>
      </c>
      <c r="B89" t="s">
        <v>214</v>
      </c>
      <c r="C89" t="s">
        <v>215</v>
      </c>
      <c r="D89" t="s">
        <v>216</v>
      </c>
    </row>
    <row r="90" spans="1:4" x14ac:dyDescent="0.4">
      <c r="A90" t="s">
        <v>193</v>
      </c>
      <c r="B90" t="s">
        <v>194</v>
      </c>
      <c r="C90" t="s">
        <v>217</v>
      </c>
      <c r="D90" t="s">
        <v>218</v>
      </c>
    </row>
    <row r="91" spans="1:4" x14ac:dyDescent="0.4">
      <c r="A91" t="s">
        <v>213</v>
      </c>
      <c r="B91" t="s">
        <v>214</v>
      </c>
      <c r="C91" t="s">
        <v>219</v>
      </c>
      <c r="D91" t="s">
        <v>220</v>
      </c>
    </row>
    <row r="92" spans="1:4" x14ac:dyDescent="0.4">
      <c r="A92" t="s">
        <v>213</v>
      </c>
      <c r="B92" t="s">
        <v>214</v>
      </c>
      <c r="C92" t="s">
        <v>221</v>
      </c>
      <c r="D92" t="s">
        <v>222</v>
      </c>
    </row>
    <row r="93" spans="1:4" x14ac:dyDescent="0.4">
      <c r="A93" t="s">
        <v>213</v>
      </c>
      <c r="B93" t="s">
        <v>214</v>
      </c>
      <c r="C93" t="s">
        <v>223</v>
      </c>
      <c r="D93" t="s">
        <v>224</v>
      </c>
    </row>
    <row r="94" spans="1:4" x14ac:dyDescent="0.4">
      <c r="A94" t="s">
        <v>213</v>
      </c>
      <c r="B94" t="s">
        <v>214</v>
      </c>
      <c r="C94" t="s">
        <v>225</v>
      </c>
      <c r="D94" t="s">
        <v>226</v>
      </c>
    </row>
    <row r="95" spans="1:4" x14ac:dyDescent="0.4">
      <c r="A95" t="s">
        <v>213</v>
      </c>
      <c r="B95" t="s">
        <v>214</v>
      </c>
      <c r="C95" t="s">
        <v>227</v>
      </c>
      <c r="D95" t="s">
        <v>228</v>
      </c>
    </row>
    <row r="96" spans="1:4" x14ac:dyDescent="0.4">
      <c r="A96" t="s">
        <v>213</v>
      </c>
      <c r="B96" t="s">
        <v>214</v>
      </c>
      <c r="C96" t="s">
        <v>229</v>
      </c>
      <c r="D96" t="s">
        <v>230</v>
      </c>
    </row>
    <row r="97" spans="1:4" x14ac:dyDescent="0.4">
      <c r="A97" t="s">
        <v>213</v>
      </c>
      <c r="B97" t="s">
        <v>214</v>
      </c>
      <c r="C97" t="s">
        <v>231</v>
      </c>
      <c r="D97" t="s">
        <v>232</v>
      </c>
    </row>
    <row r="98" spans="1:4" x14ac:dyDescent="0.4">
      <c r="A98" t="s">
        <v>213</v>
      </c>
      <c r="B98" t="s">
        <v>214</v>
      </c>
      <c r="C98" t="s">
        <v>233</v>
      </c>
      <c r="D98" t="s">
        <v>234</v>
      </c>
    </row>
    <row r="99" spans="1:4" x14ac:dyDescent="0.4">
      <c r="A99" t="s">
        <v>213</v>
      </c>
      <c r="B99" t="s">
        <v>214</v>
      </c>
      <c r="C99" t="s">
        <v>235</v>
      </c>
      <c r="D99" t="s">
        <v>236</v>
      </c>
    </row>
    <row r="100" spans="1:4" x14ac:dyDescent="0.4">
      <c r="A100" t="s">
        <v>302</v>
      </c>
      <c r="B100" t="s">
        <v>238</v>
      </c>
      <c r="C100" t="s">
        <v>300</v>
      </c>
      <c r="D100" t="s">
        <v>301</v>
      </c>
    </row>
    <row r="101" spans="1:4" x14ac:dyDescent="0.4">
      <c r="A101" t="s">
        <v>237</v>
      </c>
      <c r="B101" t="s">
        <v>238</v>
      </c>
      <c r="C101" t="s">
        <v>239</v>
      </c>
      <c r="D101" t="s">
        <v>240</v>
      </c>
    </row>
    <row r="102" spans="1:4" x14ac:dyDescent="0.4">
      <c r="A102" t="s">
        <v>237</v>
      </c>
      <c r="B102" t="s">
        <v>238</v>
      </c>
      <c r="C102" t="s">
        <v>241</v>
      </c>
      <c r="D102" t="s">
        <v>242</v>
      </c>
    </row>
    <row r="103" spans="1:4" x14ac:dyDescent="0.4">
      <c r="A103" t="s">
        <v>237</v>
      </c>
      <c r="B103" t="s">
        <v>238</v>
      </c>
      <c r="C103" t="s">
        <v>243</v>
      </c>
      <c r="D103" t="s">
        <v>244</v>
      </c>
    </row>
    <row r="104" spans="1:4" x14ac:dyDescent="0.4">
      <c r="A104" t="s">
        <v>237</v>
      </c>
      <c r="B104" t="s">
        <v>238</v>
      </c>
      <c r="C104" t="s">
        <v>245</v>
      </c>
      <c r="D104" t="s">
        <v>246</v>
      </c>
    </row>
    <row r="105" spans="1:4" x14ac:dyDescent="0.4">
      <c r="A105" t="s">
        <v>237</v>
      </c>
      <c r="B105" t="s">
        <v>238</v>
      </c>
      <c r="C105" t="s">
        <v>247</v>
      </c>
      <c r="D105" t="s">
        <v>248</v>
      </c>
    </row>
    <row r="106" spans="1:4" x14ac:dyDescent="0.4">
      <c r="A106" t="s">
        <v>237</v>
      </c>
      <c r="B106" t="s">
        <v>238</v>
      </c>
      <c r="C106" t="s">
        <v>249</v>
      </c>
      <c r="D106" t="s">
        <v>250</v>
      </c>
    </row>
    <row r="107" spans="1:4" x14ac:dyDescent="0.4">
      <c r="A107" t="s">
        <v>237</v>
      </c>
      <c r="B107" t="s">
        <v>238</v>
      </c>
      <c r="C107" t="s">
        <v>251</v>
      </c>
      <c r="D107" t="s">
        <v>303</v>
      </c>
    </row>
    <row r="108" spans="1:4" x14ac:dyDescent="0.4">
      <c r="A108" t="s">
        <v>237</v>
      </c>
      <c r="B108" t="s">
        <v>238</v>
      </c>
      <c r="C108" t="s">
        <v>252</v>
      </c>
      <c r="D108" t="s">
        <v>253</v>
      </c>
    </row>
    <row r="109" spans="1:4" x14ac:dyDescent="0.4">
      <c r="A109" t="s">
        <v>237</v>
      </c>
      <c r="B109" t="s">
        <v>238</v>
      </c>
      <c r="C109" t="s">
        <v>254</v>
      </c>
      <c r="D109" t="s">
        <v>255</v>
      </c>
    </row>
    <row r="110" spans="1:4" x14ac:dyDescent="0.4">
      <c r="A110" t="s">
        <v>237</v>
      </c>
      <c r="B110" t="s">
        <v>238</v>
      </c>
      <c r="C110" t="s">
        <v>256</v>
      </c>
      <c r="D110" t="s">
        <v>257</v>
      </c>
    </row>
    <row r="111" spans="1:4" x14ac:dyDescent="0.4">
      <c r="A111" t="s">
        <v>237</v>
      </c>
      <c r="B111" t="s">
        <v>238</v>
      </c>
      <c r="C111" t="s">
        <v>258</v>
      </c>
      <c r="D111" t="s">
        <v>259</v>
      </c>
    </row>
    <row r="112" spans="1:4" x14ac:dyDescent="0.4">
      <c r="A112" t="s">
        <v>237</v>
      </c>
      <c r="B112" t="s">
        <v>238</v>
      </c>
      <c r="C112" t="s">
        <v>260</v>
      </c>
      <c r="D112" t="s">
        <v>261</v>
      </c>
    </row>
    <row r="113" spans="1:4" x14ac:dyDescent="0.4">
      <c r="A113" t="s">
        <v>262</v>
      </c>
      <c r="B113" t="s">
        <v>263</v>
      </c>
      <c r="C113" t="s">
        <v>28</v>
      </c>
      <c r="D113" t="s">
        <v>264</v>
      </c>
    </row>
    <row r="114" spans="1:4" x14ac:dyDescent="0.4">
      <c r="A114" t="s">
        <v>262</v>
      </c>
      <c r="B114" t="s">
        <v>263</v>
      </c>
      <c r="C114" t="s">
        <v>29</v>
      </c>
      <c r="D114" t="s">
        <v>265</v>
      </c>
    </row>
    <row r="115" spans="1:4" x14ac:dyDescent="0.4">
      <c r="A115" t="s">
        <v>262</v>
      </c>
      <c r="B115" t="s">
        <v>263</v>
      </c>
      <c r="C115" t="s">
        <v>266</v>
      </c>
      <c r="D115" t="s">
        <v>267</v>
      </c>
    </row>
    <row r="116" spans="1:4" x14ac:dyDescent="0.4">
      <c r="A116" t="s">
        <v>262</v>
      </c>
      <c r="B116" t="s">
        <v>263</v>
      </c>
      <c r="C116" t="s">
        <v>268</v>
      </c>
      <c r="D116" t="s">
        <v>269</v>
      </c>
    </row>
    <row r="117" spans="1:4" x14ac:dyDescent="0.4">
      <c r="A117" t="s">
        <v>262</v>
      </c>
      <c r="B117" t="s">
        <v>263</v>
      </c>
      <c r="C117" t="s">
        <v>30</v>
      </c>
      <c r="D117" t="s">
        <v>270</v>
      </c>
    </row>
    <row r="118" spans="1:4" x14ac:dyDescent="0.4">
      <c r="A118" t="s">
        <v>262</v>
      </c>
      <c r="B118" t="s">
        <v>263</v>
      </c>
      <c r="C118" t="s">
        <v>271</v>
      </c>
      <c r="D118" t="s">
        <v>272</v>
      </c>
    </row>
    <row r="119" spans="1:4" x14ac:dyDescent="0.4">
      <c r="A119" t="s">
        <v>262</v>
      </c>
      <c r="B119" t="s">
        <v>263</v>
      </c>
      <c r="C119" t="s">
        <v>273</v>
      </c>
      <c r="D119" t="s">
        <v>274</v>
      </c>
    </row>
    <row r="120" spans="1:4" x14ac:dyDescent="0.4">
      <c r="A120" t="s">
        <v>262</v>
      </c>
      <c r="B120" t="s">
        <v>263</v>
      </c>
      <c r="C120" t="s">
        <v>31</v>
      </c>
      <c r="D120" t="s">
        <v>275</v>
      </c>
    </row>
    <row r="121" spans="1:4" x14ac:dyDescent="0.4">
      <c r="A121" t="s">
        <v>262</v>
      </c>
      <c r="B121" t="s">
        <v>263</v>
      </c>
      <c r="C121" t="s">
        <v>32</v>
      </c>
      <c r="D121" t="s">
        <v>276</v>
      </c>
    </row>
    <row r="122" spans="1:4" x14ac:dyDescent="0.4">
      <c r="A122" t="s">
        <v>262</v>
      </c>
      <c r="B122" t="s">
        <v>263</v>
      </c>
      <c r="C122" t="s">
        <v>33</v>
      </c>
      <c r="D122" t="s">
        <v>277</v>
      </c>
    </row>
    <row r="123" spans="1:4" x14ac:dyDescent="0.4">
      <c r="A123" t="s">
        <v>262</v>
      </c>
      <c r="B123" t="s">
        <v>263</v>
      </c>
      <c r="C123" t="s">
        <v>35</v>
      </c>
      <c r="D123" t="s">
        <v>278</v>
      </c>
    </row>
    <row r="124" spans="1:4" x14ac:dyDescent="0.4">
      <c r="A124" t="s">
        <v>262</v>
      </c>
      <c r="B124" t="s">
        <v>263</v>
      </c>
      <c r="C124" t="s">
        <v>34</v>
      </c>
      <c r="D124" t="s">
        <v>279</v>
      </c>
    </row>
    <row r="125" spans="1:4" x14ac:dyDescent="0.4">
      <c r="A125" t="s">
        <v>280</v>
      </c>
      <c r="B125" t="s">
        <v>281</v>
      </c>
      <c r="C125" t="s">
        <v>282</v>
      </c>
      <c r="D125" t="s">
        <v>283</v>
      </c>
    </row>
    <row r="126" spans="1:4" x14ac:dyDescent="0.4">
      <c r="A126" t="s">
        <v>280</v>
      </c>
      <c r="B126" t="s">
        <v>281</v>
      </c>
      <c r="C126" t="s">
        <v>284</v>
      </c>
      <c r="D126" t="s">
        <v>285</v>
      </c>
    </row>
    <row r="127" spans="1:4" x14ac:dyDescent="0.4">
      <c r="A127" t="s">
        <v>280</v>
      </c>
      <c r="B127" t="s">
        <v>281</v>
      </c>
      <c r="C127" t="s">
        <v>286</v>
      </c>
      <c r="D127" t="s">
        <v>287</v>
      </c>
    </row>
    <row r="128" spans="1:4" x14ac:dyDescent="0.4">
      <c r="A128" t="s">
        <v>280</v>
      </c>
      <c r="B128" t="s">
        <v>281</v>
      </c>
      <c r="C128" t="s">
        <v>288</v>
      </c>
      <c r="D128" t="s">
        <v>289</v>
      </c>
    </row>
    <row r="129" spans="1:4" x14ac:dyDescent="0.4">
      <c r="A129" t="s">
        <v>280</v>
      </c>
      <c r="B129" t="s">
        <v>281</v>
      </c>
      <c r="C129" t="s">
        <v>290</v>
      </c>
      <c r="D129" t="s">
        <v>291</v>
      </c>
    </row>
    <row r="130" spans="1:4" x14ac:dyDescent="0.4">
      <c r="A130" t="s">
        <v>280</v>
      </c>
      <c r="B130" t="s">
        <v>281</v>
      </c>
      <c r="C130" t="s">
        <v>292</v>
      </c>
      <c r="D130" t="s">
        <v>293</v>
      </c>
    </row>
    <row r="131" spans="1:4" x14ac:dyDescent="0.4">
      <c r="A131" t="s">
        <v>280</v>
      </c>
      <c r="B131" t="s">
        <v>281</v>
      </c>
      <c r="C131" t="s">
        <v>294</v>
      </c>
      <c r="D131" t="s">
        <v>295</v>
      </c>
    </row>
    <row r="132" spans="1:4" x14ac:dyDescent="0.4">
      <c r="A132" t="s">
        <v>280</v>
      </c>
      <c r="B132" t="s">
        <v>281</v>
      </c>
      <c r="C132" t="s">
        <v>296</v>
      </c>
      <c r="D132" t="s">
        <v>297</v>
      </c>
    </row>
    <row r="133" spans="1:4" x14ac:dyDescent="0.4">
      <c r="A133" t="s">
        <v>280</v>
      </c>
      <c r="B133" t="s">
        <v>281</v>
      </c>
      <c r="C133" t="s">
        <v>298</v>
      </c>
      <c r="D133" t="s">
        <v>299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DC2D-E43D-446A-91FC-12A075A65EE6}">
  <sheetPr codeName="Sheet9"/>
  <dimension ref="A1:K22"/>
  <sheetViews>
    <sheetView workbookViewId="0">
      <selection activeCell="J4" sqref="J4"/>
    </sheetView>
  </sheetViews>
  <sheetFormatPr defaultRowHeight="18.75" x14ac:dyDescent="0.4"/>
  <cols>
    <col min="1" max="1" width="11" bestFit="1" customWidth="1"/>
    <col min="2" max="2" width="40" bestFit="1" customWidth="1"/>
    <col min="7" max="8" width="12.125" bestFit="1" customWidth="1"/>
  </cols>
  <sheetData>
    <row r="1" spans="1:11" x14ac:dyDescent="0.4">
      <c r="A1" s="6" t="s">
        <v>319</v>
      </c>
      <c r="B1" s="6" t="s">
        <v>36</v>
      </c>
      <c r="C1" s="6" t="s">
        <v>320</v>
      </c>
      <c r="D1" s="6" t="s">
        <v>321</v>
      </c>
      <c r="E1" s="7" t="s">
        <v>322</v>
      </c>
      <c r="F1" s="7" t="s">
        <v>323</v>
      </c>
      <c r="G1" s="6" t="s">
        <v>324</v>
      </c>
      <c r="H1" s="6" t="s">
        <v>325</v>
      </c>
      <c r="K1" s="2"/>
    </row>
    <row r="2" spans="1:11" x14ac:dyDescent="0.4">
      <c r="A2" s="8" t="s">
        <v>55</v>
      </c>
      <c r="B2" s="8" t="s">
        <v>56</v>
      </c>
      <c r="C2" s="9">
        <v>0.4375</v>
      </c>
      <c r="D2" s="9">
        <v>0.49861111111111112</v>
      </c>
      <c r="E2" s="10">
        <v>6.1111111111111116E-2</v>
      </c>
      <c r="F2" s="10">
        <v>-9.4444444444444442E-2</v>
      </c>
      <c r="G2" s="8">
        <v>88</v>
      </c>
      <c r="H2" s="8" t="e">
        <v>#NUM!</v>
      </c>
    </row>
    <row r="3" spans="1:11" x14ac:dyDescent="0.4">
      <c r="A3" s="8" t="s">
        <v>53</v>
      </c>
      <c r="B3" s="8" t="s">
        <v>54</v>
      </c>
      <c r="C3" s="9">
        <v>0.51180555555555551</v>
      </c>
      <c r="D3" s="9">
        <v>0.53194444444444444</v>
      </c>
      <c r="E3" s="10">
        <v>2.0138888888888928E-2</v>
      </c>
      <c r="F3" s="10">
        <v>-5.0000000000000044E-2</v>
      </c>
      <c r="G3" s="8">
        <v>29</v>
      </c>
      <c r="H3" s="8" t="e">
        <v>#NUM!</v>
      </c>
      <c r="K3" s="2"/>
    </row>
    <row r="4" spans="1:11" x14ac:dyDescent="0.4">
      <c r="A4" s="8" t="s">
        <v>51</v>
      </c>
      <c r="B4" s="8" t="s">
        <v>52</v>
      </c>
      <c r="C4" s="9">
        <v>0.53611111111111109</v>
      </c>
      <c r="D4" s="9">
        <v>0.56180555555555556</v>
      </c>
      <c r="E4" s="10">
        <v>2.5694444444444464E-2</v>
      </c>
      <c r="F4" s="10">
        <v>-5.0694444444444486E-2</v>
      </c>
      <c r="G4" s="8">
        <v>37</v>
      </c>
      <c r="H4" s="8" t="e">
        <v>#NUM!</v>
      </c>
    </row>
    <row r="5" spans="1:11" x14ac:dyDescent="0.4">
      <c r="A5" s="8" t="s">
        <v>49</v>
      </c>
      <c r="B5" s="8" t="s">
        <v>50</v>
      </c>
      <c r="C5" s="9">
        <v>0.56874999999999998</v>
      </c>
      <c r="D5" s="9">
        <v>0.58680555555555558</v>
      </c>
      <c r="E5" s="10">
        <v>1.8055555555555602E-2</v>
      </c>
      <c r="F5" s="10">
        <v>-5.8333333333333348E-2</v>
      </c>
      <c r="G5" s="8">
        <v>26</v>
      </c>
      <c r="H5" s="8" t="e">
        <v>#NUM!</v>
      </c>
    </row>
    <row r="6" spans="1:11" x14ac:dyDescent="0.4">
      <c r="A6" s="8" t="s">
        <v>47</v>
      </c>
      <c r="B6" s="8" t="s">
        <v>48</v>
      </c>
      <c r="C6" s="9">
        <v>0.60138888888888886</v>
      </c>
      <c r="D6" s="9">
        <v>0.62708333333333333</v>
      </c>
      <c r="E6" s="10">
        <v>2.5694444444444464E-2</v>
      </c>
      <c r="F6" s="10">
        <v>-7.2222222222222299E-2</v>
      </c>
      <c r="G6" s="8">
        <v>37</v>
      </c>
      <c r="H6" s="8" t="e">
        <v>#NUM!</v>
      </c>
    </row>
    <row r="7" spans="1:11" x14ac:dyDescent="0.4">
      <c r="A7" s="8" t="s">
        <v>45</v>
      </c>
      <c r="B7" s="8" t="s">
        <v>46</v>
      </c>
      <c r="C7" s="9">
        <v>0.63541666666666663</v>
      </c>
      <c r="D7" s="9">
        <v>0.67361111111111116</v>
      </c>
      <c r="E7" s="10">
        <v>3.8194444444444531E-2</v>
      </c>
      <c r="F7" s="10">
        <v>-0.12847222222222221</v>
      </c>
      <c r="G7" s="8">
        <v>55</v>
      </c>
      <c r="H7" s="8" t="e">
        <v>#NUM!</v>
      </c>
    </row>
    <row r="8" spans="1:11" x14ac:dyDescent="0.4">
      <c r="A8" s="8" t="s">
        <v>334</v>
      </c>
      <c r="B8" s="8" t="s">
        <v>337</v>
      </c>
      <c r="C8" s="9">
        <v>0.68055555555555558</v>
      </c>
      <c r="D8" s="9">
        <v>0.72013888888888888</v>
      </c>
      <c r="E8" s="10">
        <v>3.9583333333333304E-2</v>
      </c>
      <c r="F8" s="10"/>
      <c r="G8" s="8">
        <v>57</v>
      </c>
      <c r="H8" s="8"/>
    </row>
    <row r="9" spans="1:11" x14ac:dyDescent="0.4">
      <c r="A9" s="8" t="s">
        <v>43</v>
      </c>
      <c r="B9" s="8" t="s">
        <v>44</v>
      </c>
      <c r="C9" s="9">
        <v>0.73611111111111116</v>
      </c>
      <c r="D9" s="9">
        <v>0.76388888888888884</v>
      </c>
      <c r="E9" s="10">
        <v>2.7777777777777679E-2</v>
      </c>
      <c r="F9" s="10"/>
      <c r="G9" s="8">
        <v>40</v>
      </c>
      <c r="H9" s="8"/>
    </row>
    <row r="10" spans="1:11" x14ac:dyDescent="0.4">
      <c r="A10" s="8"/>
      <c r="B10" s="8"/>
      <c r="C10" s="9"/>
      <c r="D10" s="9"/>
      <c r="E10" s="10"/>
      <c r="F10" s="10"/>
      <c r="G10" s="8"/>
      <c r="H10" s="8"/>
    </row>
    <row r="11" spans="1:11" x14ac:dyDescent="0.4">
      <c r="A11" s="17"/>
      <c r="B11" s="17"/>
      <c r="C11" s="18"/>
      <c r="D11" s="18"/>
      <c r="E11" s="19"/>
      <c r="F11" s="19"/>
      <c r="G11" s="17"/>
      <c r="H11" s="17"/>
    </row>
    <row r="12" spans="1:11" x14ac:dyDescent="0.4">
      <c r="A12" s="16"/>
      <c r="B12" s="8"/>
      <c r="C12" s="9"/>
      <c r="D12" s="9"/>
      <c r="E12" s="10"/>
      <c r="F12" s="10"/>
      <c r="G12" s="8"/>
      <c r="H12" s="8"/>
    </row>
    <row r="13" spans="1:11" x14ac:dyDescent="0.4">
      <c r="A13" s="11"/>
      <c r="B13" s="11"/>
      <c r="C13" s="11"/>
      <c r="D13" s="11"/>
      <c r="E13" s="12"/>
      <c r="F13" s="12"/>
      <c r="G13" s="11"/>
      <c r="H13" s="11"/>
    </row>
    <row r="14" spans="1:11" x14ac:dyDescent="0.4">
      <c r="A14" s="13" t="s">
        <v>321</v>
      </c>
      <c r="B14" s="14">
        <v>0.37291666666666667</v>
      </c>
      <c r="C14" s="11"/>
      <c r="D14" s="11"/>
      <c r="E14" s="12"/>
      <c r="F14" s="12"/>
      <c r="G14" s="11"/>
      <c r="H14" s="11"/>
    </row>
    <row r="15" spans="1:11" x14ac:dyDescent="0.4">
      <c r="A15" s="13" t="s">
        <v>326</v>
      </c>
      <c r="B15" s="14">
        <v>0.83958333333333335</v>
      </c>
      <c r="C15" s="11"/>
      <c r="D15" s="11"/>
      <c r="E15" s="12"/>
      <c r="F15" s="12"/>
      <c r="G15" s="11"/>
      <c r="H15" s="11"/>
    </row>
    <row r="16" spans="1:11" x14ac:dyDescent="0.4">
      <c r="A16" s="11"/>
      <c r="B16" s="15"/>
      <c r="C16" s="11"/>
      <c r="D16" s="11"/>
      <c r="E16" s="12"/>
      <c r="F16" s="12"/>
      <c r="G16" s="11"/>
      <c r="H16" s="11"/>
    </row>
    <row r="17" spans="1:8" x14ac:dyDescent="0.4">
      <c r="A17" s="13" t="s">
        <v>327</v>
      </c>
      <c r="B17" s="13">
        <v>1010</v>
      </c>
      <c r="C17" s="11"/>
      <c r="D17" s="11"/>
      <c r="E17" s="12"/>
      <c r="F17" s="12"/>
      <c r="G17" s="11"/>
      <c r="H17" s="11"/>
    </row>
    <row r="18" spans="1:8" x14ac:dyDescent="0.4">
      <c r="A18" s="13" t="s">
        <v>328</v>
      </c>
      <c r="B18" s="13">
        <v>0</v>
      </c>
      <c r="C18" s="11"/>
      <c r="D18" s="11"/>
      <c r="E18" s="12"/>
      <c r="F18" s="12"/>
      <c r="G18" s="11"/>
      <c r="H18" s="11"/>
    </row>
    <row r="19" spans="1:8" x14ac:dyDescent="0.4">
      <c r="A19" s="11"/>
      <c r="B19" s="11"/>
      <c r="C19" s="11"/>
      <c r="D19" s="11"/>
      <c r="E19" s="12"/>
      <c r="F19" s="12"/>
      <c r="G19" s="11"/>
      <c r="H19" s="11"/>
    </row>
    <row r="20" spans="1:8" x14ac:dyDescent="0.4">
      <c r="A20" s="11"/>
      <c r="B20" s="11"/>
      <c r="C20" s="11"/>
      <c r="D20" s="11"/>
      <c r="E20" s="12"/>
      <c r="F20" s="12"/>
      <c r="G20" s="11"/>
      <c r="H20" s="11"/>
    </row>
    <row r="21" spans="1:8" x14ac:dyDescent="0.4">
      <c r="A21" s="11"/>
      <c r="B21" s="11"/>
      <c r="C21" s="11"/>
      <c r="D21" s="11"/>
      <c r="E21" s="12"/>
      <c r="F21" s="12"/>
      <c r="G21" s="11"/>
      <c r="H21" s="11"/>
    </row>
    <row r="22" spans="1:8" x14ac:dyDescent="0.4">
      <c r="A22" s="11"/>
      <c r="B22" s="11"/>
      <c r="C22" s="11"/>
      <c r="D22" s="11"/>
      <c r="E22" s="12"/>
      <c r="F22" s="12"/>
      <c r="G22" s="11"/>
      <c r="H22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コントロールパネル</vt:lpstr>
      <vt:lpstr>sku入りリスト</vt:lpstr>
      <vt:lpstr>ピッキングリスト</vt:lpstr>
      <vt:lpstr>検品リスト</vt:lpstr>
      <vt:lpstr>出品用CSV</vt:lpstr>
      <vt:lpstr>出品除外リスト</vt:lpstr>
      <vt:lpstr>外注用リスト</vt:lpstr>
      <vt:lpstr>仕入先マスタ</vt:lpstr>
      <vt:lpstr>滞在記録_読込用</vt:lpstr>
      <vt:lpstr>ピッキングリスト!ExternalData_1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秀之 武田</dc:creator>
  <cp:lastModifiedBy>秀之 武田</cp:lastModifiedBy>
  <cp:lastPrinted>2025-07-06T06:17:06Z</cp:lastPrinted>
  <dcterms:created xsi:type="dcterms:W3CDTF">2025-06-05T11:45:38Z</dcterms:created>
  <dcterms:modified xsi:type="dcterms:W3CDTF">2025-08-16T23:29:34Z</dcterms:modified>
</cp:coreProperties>
</file>